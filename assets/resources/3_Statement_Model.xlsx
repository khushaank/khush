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734128aaa44d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5cfe5e035e0d4554"/>
    <x:sheet xmlns:r="http://schemas.openxmlformats.org/officeDocument/2006/relationships" name="Income_Statement" sheetId="2" r:id="R5372c57d73394464"/>
    <x:sheet xmlns:r="http://schemas.openxmlformats.org/officeDocument/2006/relationships" name="Balance_Sheet" sheetId="3" r:id="R5ae135a2a46b4419"/>
    <x:sheet xmlns:r="http://schemas.openxmlformats.org/officeDocument/2006/relationships" name="Cash_Flow" sheetId="4" r:id="Rfc0385666caa40f3"/>
    <x:sheet xmlns:r="http://schemas.openxmlformats.org/officeDocument/2006/relationships" name="Checks" sheetId="5" r:id="Rd00a0740be284e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0.0%;[Red](0.0%);&quot;-&quot;;@"/>
    <x:numFmt numFmtId="165" formatCode="#,##0;[Red](#,##0);&quot;-&quot;;@"/>
    <x:numFmt numFmtId="166" formatCode="$#,##0.0,,&quot;M&quot;;[Red]($#,##0.0,,&quot;M&quot;);&quot;-&quot;;@"/>
  </x:numFmts>
  <x:fonts count="7">
    <x:font>
      <x:sz val="11"/>
      <x:color theme="1"/>
      <x:name val="Calibri"/>
      <x:family val="2"/>
      <x:scheme val="minor"/>
    </x:font>
    <x:font>
      <x:b/>
      <x:sz val="14"/>
      <x:color rgb="00FFFFFF"/>
      <x:name val="Calibri"/>
    </x:font>
    <x:font>
      <x:b/>
      <x:sz val="11"/>
      <x:color rgb="00FFFFFF"/>
      <x:name val="Calibri"/>
    </x:font>
    <x:font>
      <x:b/>
      <x:sz val="11"/>
      <x:color rgb="00000000"/>
      <x:name val="Calibri"/>
    </x:font>
    <x:font>
      <x:sz val="11"/>
      <x:color rgb="000000FF"/>
      <x:name val="Calibri"/>
    </x:font>
    <x:font>
      <x:i/>
      <x:sz val="10"/>
      <x:name val="Calibri"/>
    </x:font>
    <x:font>
      <x:sz val="11"/>
      <x:color rgb="00000000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0B2F4E"/>
      </x:patternFill>
    </x:fill>
    <x:fill>
      <x:patternFill patternType="solid">
        <x:fgColor rgb="00D9E1F2"/>
      </x:patternFill>
    </x:fill>
    <x:fill>
      <x:patternFill patternType="solid">
        <x:fgColor rgb="00FFF2CC"/>
      </x:patternFill>
    </x:fill>
  </x:fills>
  <x:borders count="2">
    <x:border>
      <x:left/>
      <x:right/>
      <x:top/>
      <x:bottom/>
      <x:diagonal/>
    </x:border>
    <x:border>
      <x:left style="thin">
        <x:color rgb="00A0A0A0"/>
      </x:left>
      <x:right style="thin">
        <x:color rgb="00A0A0A0"/>
      </x:right>
      <x:top style="thin">
        <x:color rgb="00A0A0A0"/>
      </x:top>
      <x:bottom style="thin">
        <x:color rgb="00A0A0A0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2" borderId="0" xfId="0" applyAlignment="1">
      <x:alignment horizontal="left" vertical="center"/>
    </x:xf>
    <x:xf numFmtId="0" fontId="0" fillId="0" borderId="0" xfId="0" applyAlignment="1">
      <x:alignment horizontal="left" vertical="top" wrapText="1"/>
    </x:xf>
    <x:xf numFmtId="0" fontId="2" fillId="3" borderId="0" xfId="0" applyAlignment="1">
      <x:alignment horizontal="left" vertical="center"/>
    </x:xf>
    <x:xf numFmtId="0" fontId="3" fillId="4" borderId="1" xfId="0" applyAlignment="1">
      <x:alignment horizontal="center" vertical="center"/>
    </x:xf>
    <x:xf numFmtId="0" fontId="0" fillId="0" borderId="1" xfId="0" applyAlignment="1">
      <x:alignment horizontal="center" vertical="center"/>
    </x:xf>
    <x:xf numFmtId="164" fontId="4" fillId="5" borderId="1" xfId="0" applyAlignment="1">
      <x:alignment horizontal="center" vertical="center"/>
    </x:xf>
    <x:xf numFmtId="0" fontId="0" fillId="0" borderId="1" xfId="0" applyAlignment="1">
      <x:alignment horizontal="left" vertical="center"/>
    </x:xf>
    <x:xf numFmtId="164" fontId="4" fillId="5" borderId="1" xfId="0" applyAlignment="1">
      <x:alignment horizontal="right" vertical="center"/>
    </x:xf>
    <x:xf numFmtId="165" fontId="4" fillId="5" borderId="1" xfId="0" applyAlignment="1">
      <x:alignment horizontal="right" vertical="center"/>
    </x:xf>
    <x:xf numFmtId="0" fontId="4" fillId="5" borderId="1" xfId="0" applyAlignment="1">
      <x:alignment horizontal="right" vertical="center"/>
    </x:xf>
    <x:xf numFmtId="0" fontId="5" fillId="0" borderId="0" xfId="0"/>
    <x:xf numFmtId="0" fontId="3" fillId="0" borderId="0" xfId="0" applyAlignment="1">
      <x:alignment horizontal="left" vertical="center"/>
    </x:xf>
    <x:xf numFmtId="166" fontId="0" fillId="0" borderId="0" xfId="0" applyAlignment="1">
      <x:alignment horizontal="right" vertical="center"/>
    </x:xf>
    <x:xf numFmtId="0" fontId="6" fillId="0" borderId="0" xfId="0" applyAlignment="1">
      <x:alignment horizontal="left" vertical="center"/>
    </x:xf>
    <x:xf numFmtId="0" fontId="3" fillId="0" borderId="0" xfId="0"/>
    <x:xf numFmtId="166" fontId="0" fillId="0" borderId="1" xfId="0" applyAlignment="1">
      <x:alignment horizontal="right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2dbfdc896c4e5b" /><Relationship Type="http://schemas.openxmlformats.org/officeDocument/2006/relationships/theme" Target="/xl/theme/theme1.xml" Id="Rf730d9d60c8b4499" /><Relationship Type="http://schemas.openxmlformats.org/officeDocument/2006/relationships/sharedStrings" Target="/xl/sharedStrings.xml" Id="Rdecf8a4a9b1745ad" /><Relationship Type="http://schemas.openxmlformats.org/officeDocument/2006/relationships/worksheet" Target="/xl/worksheets/sheet1.xml" Id="R5cfe5e035e0d4554" /><Relationship Type="http://schemas.openxmlformats.org/officeDocument/2006/relationships/worksheet" Target="/xl/worksheets/sheet2.xml" Id="R5372c57d73394464" /><Relationship Type="http://schemas.openxmlformats.org/officeDocument/2006/relationships/worksheet" Target="/xl/worksheets/sheet3.xml" Id="R5ae135a2a46b4419" /><Relationship Type="http://schemas.openxmlformats.org/officeDocument/2006/relationships/worksheet" Target="/xl/worksheets/sheet4.xml" Id="Rfc0385666caa40f3" /><Relationship Type="http://schemas.openxmlformats.org/officeDocument/2006/relationships/worksheet" Target="/xl/worksheets/sheet5.xml" Id="Rd00a0740be284ee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customWidth="1"/>
    <x:col min="2" max="2" width="24" customWidth="1"/>
    <x:col min="3" max="3" width="4" customWidth="1"/>
  </x:cols>
  <x:sheetData>
    <x:row r="1" ht="26" customHeight="1">
      <x:c r="A1" s="1" t="inlineStr">
        <x:is>
          <x:t xml:space="preserve">3-Statement Integrated Model</x:t>
        </x:is>
      </x:c>
    </x:row>
    <x:row r="3">
      <x:c r="A3" s="2" t="inlineStr">
        <x:is>
          <x:t xml:space="preserve">Blue = inputs. All forecasts flow through statements dynamically.</x:t>
        </x:is>
      </x:c>
    </x:row>
    <x:row r="5" ht="20" customHeight="1">
      <x:c r="A5" s="3" t="inlineStr">
        <x:is>
          <x:t xml:space="preserve">Projection Drivers</x:t>
        </x:is>
      </x:c>
    </x:row>
    <x:row r="6" ht="18" customHeight="1">
      <x:c r="A6" s="4" t="inlineStr">
        <x:is>
          <x:t xml:space="preserve">FY</x:t>
        </x:is>
      </x:c>
      <x:c r="B6" s="4" t="inlineStr">
        <x:is>
          <x:t xml:space="preserve">Revenue Growth</x:t>
        </x:is>
      </x:c>
    </x:row>
    <x:row r="7">
      <x:c r="A7" s="5" t="n">
        <x:v>2026</x:v>
      </x:c>
      <x:c r="B7" s="6" t="n">
        <x:v>0.09</x:v>
      </x:c>
    </x:row>
    <x:row r="8">
      <x:c r="A8" s="5" t="n">
        <x:v>2027</x:v>
      </x:c>
      <x:c r="B8" s="6" t="n">
        <x:v>0.08</x:v>
      </x:c>
    </x:row>
    <x:row r="9">
      <x:c r="A9" s="5" t="n">
        <x:v>2028</x:v>
      </x:c>
      <x:c r="B9" s="6" t="n">
        <x:v>0.07000000000000001</x:v>
      </x:c>
    </x:row>
    <x:row r="10">
      <x:c r="A10" s="5" t="n">
        <x:v>2029</x:v>
      </x:c>
      <x:c r="B10" s="6" t="n">
        <x:v>0.06</x:v>
      </x:c>
    </x:row>
    <x:row r="11">
      <x:c r="A11" s="5" t="n">
        <x:v>2030</x:v>
      </x:c>
      <x:c r="B11" s="6" t="n">
        <x:v>0.05</x:v>
      </x:c>
    </x:row>
    <x:row r="13" ht="20" customHeight="1">
      <x:c r="A13" s="3" t="inlineStr">
        <x:is>
          <x:t xml:space="preserve">Margins &amp; Cash Flow Assumptions</x:t>
        </x:is>
      </x:c>
    </x:row>
    <x:row r="14" ht="18" customHeight="1">
      <x:c r="A14" s="4" t="inlineStr">
        <x:is>
          <x:t xml:space="preserve">Input</x:t>
        </x:is>
      </x:c>
      <x:c r="B14" s="4" t="inlineStr">
        <x:is>
          <x:t xml:space="preserve">Value</x:t>
        </x:is>
      </x:c>
    </x:row>
    <x:row r="15">
      <x:c r="A15" s="7" t="inlineStr">
        <x:is>
          <x:t xml:space="preserve">COGS (% of Revenue)</x:t>
        </x:is>
      </x:c>
      <x:c r="B15" s="8" t="n">
        <x:v>0.58</x:v>
      </x:c>
    </x:row>
    <x:row r="16">
      <x:c r="A16" s="7" t="inlineStr">
        <x:is>
          <x:t xml:space="preserve">SG&amp;A (% of Revenue)</x:t>
        </x:is>
      </x:c>
      <x:c r="B16" s="8" t="n">
        <x:v>0.18</x:v>
      </x:c>
    </x:row>
    <x:row r="17">
      <x:c r="A17" s="7" t="inlineStr">
        <x:is>
          <x:t xml:space="preserve">D&amp;A (% of Revenue)</x:t>
        </x:is>
      </x:c>
      <x:c r="B17" s="8" t="n">
        <x:v>0.03</x:v>
      </x:c>
    </x:row>
    <x:row r="18">
      <x:c r="A18" s="7" t="inlineStr">
        <x:is>
          <x:t xml:space="preserve">Capex (% of Revenue)</x:t>
        </x:is>
      </x:c>
      <x:c r="B18" s="8" t="n">
        <x:v>0.045</x:v>
      </x:c>
    </x:row>
    <x:row r="19">
      <x:c r="A19" s="7" t="inlineStr">
        <x:is>
          <x:t xml:space="preserve">Tax Rate</x:t>
        </x:is>
      </x:c>
      <x:c r="B19" s="8" t="n">
        <x:v>0.25</x:v>
      </x:c>
    </x:row>
    <x:row r="20">
      <x:c r="A20" s="7" t="inlineStr">
        <x:is>
          <x:t xml:space="preserve">Interest Rate on Revolver</x:t>
        </x:is>
      </x:c>
      <x:c r="B20" s="8" t="n">
        <x:v>0.065</x:v>
      </x:c>
    </x:row>
    <x:row r="21">
      <x:c r="A21" s="7" t="inlineStr">
        <x:is>
          <x:t xml:space="preserve">AR Days</x:t>
        </x:is>
      </x:c>
      <x:c r="B21" s="9" t="n">
        <x:v>45</x:v>
      </x:c>
    </x:row>
    <x:row r="22">
      <x:c r="A22" s="7" t="inlineStr">
        <x:is>
          <x:t xml:space="preserve">Inventory Days</x:t>
        </x:is>
      </x:c>
      <x:c r="B22" s="9" t="n">
        <x:v>60</x:v>
      </x:c>
    </x:row>
    <x:row r="23">
      <x:c r="A23" s="7" t="inlineStr">
        <x:is>
          <x:t xml:space="preserve">AP Days</x:t>
        </x:is>
      </x:c>
      <x:c r="B23" s="9" t="n">
        <x:v>40</x:v>
      </x:c>
    </x:row>
    <x:row r="24">
      <x:c r="A24" s="7" t="inlineStr">
        <x:is>
          <x:t xml:space="preserve">Accrued Exp. (% of Revenue)</x:t>
        </x:is>
      </x:c>
      <x:c r="B24" s="8" t="n">
        <x:v>0.04</x:v>
      </x:c>
    </x:row>
    <x:row r="25">
      <x:c r="A25" s="7" t="inlineStr">
        <x:is>
          <x:t xml:space="preserve">Min Cash (% of Revenue)</x:t>
        </x:is>
      </x:c>
      <x:c r="B25" s="8" t="n">
        <x:v>0.02</x:v>
      </x:c>
    </x:row>
    <x:row r="26">
      <x:c r="A26" s="7" t="inlineStr">
        <x:is>
          <x:t xml:space="preserve">Dividend Payout (% of Net Income)</x:t>
        </x:is>
      </x:c>
      <x:c r="B26" s="8" t="n">
        <x:v>0.1</x:v>
      </x:c>
    </x:row>
    <x:row r="27">
      <x:c r="A27" s="7" t="inlineStr">
        <x:is>
          <x:t xml:space="preserve">Primary Plug (Cash or Revolver)</x:t>
        </x:is>
      </x:c>
      <x:c r="B27" s="10" t="inlineStr">
        <x:is>
          <x:t xml:space="preserve">Revolver</x:t>
        </x:is>
      </x:c>
    </x:row>
  </x:sheetData>
  <x:mergeCells>
    <x:mergeCell ref="A5:N5"/>
    <x:mergeCell ref="A13:N13"/>
    <x:mergeCell ref="A1:N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</x:cols>
  <x:sheetData>
    <x:row r="1" ht="26" customHeight="1">
      <x:c r="A1" s="1" t="inlineStr">
        <x:is>
          <x:t xml:space="preserve">Income Statement (Historical + Forecast)</x:t>
        </x:is>
      </x:c>
    </x:row>
    <x:row r="3">
      <x:c r="A3" s="11" t="inlineStr">
        <x:is>
          <x:t xml:space="preserve">($mm)</x:t>
        </x:is>
      </x:c>
    </x:row>
    <x:row r="4" ht="18" customHeight="1">
      <x:c r="A4" s="4" t="inlineStr">
        <x:is>
          <x:t xml:space="preserve">FY</x:t>
        </x:is>
      </x:c>
      <x:c r="B4" s="4" t="n"/>
      <x:c r="C4" s="4" t="n">
        <x:v>2021</x:v>
      </x:c>
      <x:c r="D4" s="4" t="n">
        <x:v>2022</x:v>
      </x:c>
      <x:c r="E4" s="4" t="n">
        <x:v>2023</x:v>
      </x:c>
      <x:c r="F4" s="4" t="n">
        <x:v>2024</x:v>
      </x:c>
      <x:c r="G4" s="4" t="n">
        <x:v>2025</x:v>
      </x:c>
      <x:c r="H4" s="4" t="n">
        <x:v>2026</x:v>
      </x:c>
      <x:c r="I4" s="4" t="n">
        <x:v>2027</x:v>
      </x:c>
      <x:c r="J4" s="4" t="n">
        <x:v>2028</x:v>
      </x:c>
      <x:c r="K4" s="4" t="n">
        <x:v>2029</x:v>
      </x:c>
      <x:c r="L4" s="4" t="n">
        <x:v>2030</x:v>
      </x:c>
    </x:row>
    <x:row r="5">
      <x:c r="A5" s="12" t="inlineStr">
        <x:is>
          <x:t xml:space="preserve">Revenue</x:t>
        </x:is>
      </x:c>
      <x:c r="C5" s="13" t="n">
        <x:v>4200</x:v>
      </x:c>
      <x:c r="D5" s="13" t="n">
        <x:v>4550</x:v>
      </x:c>
      <x:c r="E5" s="13" t="n">
        <x:v>4920</x:v>
      </x:c>
      <x:c r="F5" s="13" t="n">
        <x:v>5300</x:v>
      </x:c>
      <x:c r="G5" s="13" t="n">
        <x:v>5750</x:v>
      </x:c>
      <x:c r="H5" s="13">
        <x:f>G5*(1+Assumptions!$B$7)</x:f>
        <x:v>6267.500000000001</x:v>
      </x:c>
      <x:c r="I5" s="13">
        <x:f>H5*(1+Assumptions!$B$8)</x:f>
        <x:v>6768.9000000000015</x:v>
      </x:c>
      <x:c r="J5" s="13">
        <x:f>I5*(1+Assumptions!$B$9)</x:f>
        <x:v>7242.723000000002</x:v>
      </x:c>
      <x:c r="K5" s="13">
        <x:f>J5*(1+Assumptions!$B$10)</x:f>
        <x:v>7677.286380000002</x:v>
      </x:c>
      <x:c r="L5" s="13">
        <x:f>K5*(1+Assumptions!$B$11)</x:f>
        <x:v>8061.1506990000025</x:v>
      </x:c>
    </x:row>
    <x:row r="6">
      <x:c r="A6" s="14" t="inlineStr">
        <x:is>
          <x:t xml:space="preserve">COGS</x:t>
        </x:is>
      </x:c>
      <x:c r="C6" s="13">
        <x:f>-C5*Assumptions!$B$15</x:f>
        <x:v>-2436</x:v>
      </x:c>
      <x:c r="D6" s="13">
        <x:f>-D5*Assumptions!$B$15</x:f>
        <x:v>-2639</x:v>
      </x:c>
      <x:c r="E6" s="13">
        <x:f>-E5*Assumptions!$B$15</x:f>
        <x:v>-2853.6</x:v>
      </x:c>
      <x:c r="F6" s="13">
        <x:f>-F5*Assumptions!$B$15</x:f>
        <x:v>-3074</x:v>
      </x:c>
      <x:c r="G6" s="13">
        <x:f>-G5*Assumptions!$B$15</x:f>
        <x:v>-3334.9999999999995</x:v>
      </x:c>
      <x:c r="H6" s="13">
        <x:f>-H5*Assumptions!$B$15</x:f>
        <x:v>-3635.15</x:v>
      </x:c>
      <x:c r="I6" s="13">
        <x:f>-I5*Assumptions!$B$15</x:f>
        <x:v>-3925.9620000000004</x:v>
      </x:c>
      <x:c r="J6" s="13">
        <x:f>-J5*Assumptions!$B$15</x:f>
        <x:v>-4200.779340000001</x:v>
      </x:c>
      <x:c r="K6" s="13">
        <x:f>-K5*Assumptions!$B$15</x:f>
        <x:v>-4452.826100400001</x:v>
      </x:c>
      <x:c r="L6" s="13">
        <x:f>-L5*Assumptions!$B$15</x:f>
        <x:v>-4675.467405420001</x:v>
      </x:c>
    </x:row>
    <x:row r="7">
      <x:c r="A7" s="12" t="inlineStr">
        <x:is>
          <x:t xml:space="preserve">Gross Profit</x:t>
        </x:is>
      </x:c>
      <x:c r="C7" s="13">
        <x:f>C5+C6</x:f>
        <x:v>1764</x:v>
      </x:c>
      <x:c r="D7" s="13">
        <x:f>D5+D6</x:f>
        <x:v>1911</x:v>
      </x:c>
      <x:c r="E7" s="13">
        <x:f>E5+E6</x:f>
        <x:v>2066.4</x:v>
      </x:c>
      <x:c r="F7" s="13">
        <x:f>F5+F6</x:f>
        <x:v>2226</x:v>
      </x:c>
      <x:c r="G7" s="13">
        <x:f>G5+G6</x:f>
        <x:v>2415.0000000000005</x:v>
      </x:c>
      <x:c r="H7" s="13">
        <x:f>H5+H6</x:f>
        <x:v>2632.350000000001</x:v>
      </x:c>
      <x:c r="I7" s="13">
        <x:f>I5+I6</x:f>
        <x:v>2842.938000000001</x:v>
      </x:c>
      <x:c r="J7" s="13">
        <x:f>J5+J6</x:f>
        <x:v>3041.943660000001</x:v>
      </x:c>
      <x:c r="K7" s="13">
        <x:f>K5+K6</x:f>
        <x:v>3224.460279600001</x:v>
      </x:c>
      <x:c r="L7" s="13">
        <x:f>L5+L6</x:f>
        <x:v>3385.683293580001</x:v>
      </x:c>
    </x:row>
    <x:row r="8">
      <x:c r="A8" s="14" t="inlineStr">
        <x:is>
          <x:t xml:space="preserve">SG&amp;A</x:t>
        </x:is>
      </x:c>
      <x:c r="C8" s="13">
        <x:f>-C5*Assumptions!$B$16</x:f>
        <x:v>-756</x:v>
      </x:c>
      <x:c r="D8" s="13">
        <x:f>-D5*Assumptions!$B$16</x:f>
        <x:v>-819</x:v>
      </x:c>
      <x:c r="E8" s="13">
        <x:f>-E5*Assumptions!$B$16</x:f>
        <x:v>-885.6</x:v>
      </x:c>
      <x:c r="F8" s="13">
        <x:f>-F5*Assumptions!$B$16</x:f>
        <x:v>-954</x:v>
      </x:c>
      <x:c r="G8" s="13">
        <x:f>-G5*Assumptions!$B$16</x:f>
        <x:v>-1035</x:v>
      </x:c>
      <x:c r="H8" s="13">
        <x:f>-H5*Assumptions!$B$16</x:f>
        <x:v>-1128.15</x:v>
      </x:c>
      <x:c r="I8" s="13">
        <x:f>-I5*Assumptions!$B$16</x:f>
        <x:v>-1218.4020000000003</x:v>
      </x:c>
      <x:c r="J8" s="13">
        <x:f>-J5*Assumptions!$B$16</x:f>
        <x:v>-1303.6901400000004</x:v>
      </x:c>
      <x:c r="K8" s="13">
        <x:f>-K5*Assumptions!$B$16</x:f>
        <x:v>-1381.9115484000004</x:v>
      </x:c>
      <x:c r="L8" s="13">
        <x:f>-L5*Assumptions!$B$16</x:f>
        <x:v>-1451.0071258200005</x:v>
      </x:c>
    </x:row>
    <x:row r="9">
      <x:c r="A9" s="12" t="inlineStr">
        <x:is>
          <x:t xml:space="preserve">EBITDA</x:t>
        </x:is>
      </x:c>
      <x:c r="C9" s="13">
        <x:f>C7+C8</x:f>
        <x:v>1008</x:v>
      </x:c>
      <x:c r="D9" s="13">
        <x:f>D7+D8</x:f>
        <x:v>1092</x:v>
      </x:c>
      <x:c r="E9" s="13">
        <x:f>E7+E8</x:f>
        <x:v>1180.8000000000002</x:v>
      </x:c>
      <x:c r="F9" s="13">
        <x:f>F7+F8</x:f>
        <x:v>1272</x:v>
      </x:c>
      <x:c r="G9" s="13">
        <x:f>G7+G8</x:f>
        <x:v>1380.0000000000005</x:v>
      </x:c>
      <x:c r="H9" s="13">
        <x:f>H7+H8</x:f>
        <x:v>1504.2000000000007</x:v>
      </x:c>
      <x:c r="I9" s="13">
        <x:f>I7+I8</x:f>
        <x:v>1624.5360000000007</x:v>
      </x:c>
      <x:c r="J9" s="13">
        <x:f>J7+J8</x:f>
        <x:v>1738.2535200000004</x:v>
      </x:c>
      <x:c r="K9" s="13">
        <x:f>K7+K8</x:f>
        <x:v>1842.5487312000005</x:v>
      </x:c>
      <x:c r="L9" s="13">
        <x:f>L7+L8</x:f>
        <x:v>1934.6761677600007</x:v>
      </x:c>
    </x:row>
    <x:row r="10">
      <x:c r="A10" s="14" t="inlineStr">
        <x:is>
          <x:t xml:space="preserve">D&amp;A</x:t>
        </x:is>
      </x:c>
      <x:c r="C10" s="13">
        <x:f>-C5*Assumptions!$B$17</x:f>
        <x:v>-126</x:v>
      </x:c>
      <x:c r="D10" s="13">
        <x:f>-D5*Assumptions!$B$17</x:f>
        <x:v>-136.5</x:v>
      </x:c>
      <x:c r="E10" s="13">
        <x:f>-E5*Assumptions!$B$17</x:f>
        <x:v>-147.6</x:v>
      </x:c>
      <x:c r="F10" s="13">
        <x:f>-F5*Assumptions!$B$17</x:f>
        <x:v>-159</x:v>
      </x:c>
      <x:c r="G10" s="13">
        <x:f>-G5*Assumptions!$B$17</x:f>
        <x:v>-172.5</x:v>
      </x:c>
      <x:c r="H10" s="13">
        <x:f>-H5*Assumptions!$B$17</x:f>
        <x:v>-188.02500000000003</x:v>
      </x:c>
      <x:c r="I10" s="13">
        <x:f>-I5*Assumptions!$B$17</x:f>
        <x:v>-203.06700000000004</x:v>
      </x:c>
      <x:c r="J10" s="13">
        <x:f>-J5*Assumptions!$B$17</x:f>
        <x:v>-217.28169000000005</x:v>
      </x:c>
      <x:c r="K10" s="13">
        <x:f>-K5*Assumptions!$B$17</x:f>
        <x:v>-230.31859140000006</x:v>
      </x:c>
      <x:c r="L10" s="13">
        <x:f>-L5*Assumptions!$B$17</x:f>
        <x:v>-241.83452097000006</x:v>
      </x:c>
    </x:row>
    <x:row r="11">
      <x:c r="A11" s="12" t="inlineStr">
        <x:is>
          <x:t xml:space="preserve">EBIT</x:t>
        </x:is>
      </x:c>
      <x:c r="C11" s="13">
        <x:f>C9+C10</x:f>
        <x:v>882</x:v>
      </x:c>
      <x:c r="D11" s="13">
        <x:f>D9+D10</x:f>
        <x:v>955.5</x:v>
      </x:c>
      <x:c r="E11" s="13">
        <x:f>E9+E10</x:f>
        <x:v>1033.2000000000003</x:v>
      </x:c>
      <x:c r="F11" s="13">
        <x:f>F9+F10</x:f>
        <x:v>1113</x:v>
      </x:c>
      <x:c r="G11" s="13">
        <x:f>G9+G10</x:f>
        <x:v>1207.5000000000005</x:v>
      </x:c>
      <x:c r="H11" s="13">
        <x:f>H9+H10</x:f>
        <x:v>1316.1750000000006</x:v>
      </x:c>
      <x:c r="I11" s="13">
        <x:f>I9+I10</x:f>
        <x:v>1421.4690000000007</x:v>
      </x:c>
      <x:c r="J11" s="13">
        <x:f>J9+J10</x:f>
        <x:v>1520.9718300000004</x:v>
      </x:c>
      <x:c r="K11" s="13">
        <x:f>K9+K10</x:f>
        <x:v>1612.2301398000004</x:v>
      </x:c>
      <x:c r="L11" s="13">
        <x:f>L9+L10</x:f>
        <x:v>1692.8416467900006</x:v>
      </x:c>
    </x:row>
    <x:row r="12">
      <x:c r="A12" s="14" t="inlineStr">
        <x:is>
          <x:t xml:space="preserve">Interest Expense</x:t>
        </x:is>
      </x:c>
      <x:c r="C12" s="13">
        <x:f>-0</x:f>
        <x:v>0</x:v>
      </x:c>
      <x:c r="D12" s="13">
        <x:f>-Balance_Sheet!C14*Assumptions!$B$20</x:f>
        <x:v>-23.400000000000002</x:v>
      </x:c>
      <x:c r="E12" s="13">
        <x:f>-Balance_Sheet!D14*Assumptions!$B$20</x:f>
        <x:v>-24.7</x:v>
      </x:c>
      <x:c r="F12" s="13">
        <x:f>-Balance_Sheet!E14*Assumptions!$B$20</x:f>
        <x:v>-26.325</x:v>
      </x:c>
      <x:c r="G12" s="13">
        <x:f>-Balance_Sheet!F14*Assumptions!$B$20</x:f>
        <x:v>-27.95</x:v>
      </x:c>
      <x:c r="H12" s="13">
        <x:f>-Balance_Sheet!G14*Assumptions!$B$20</x:f>
        <x:v>-29.575</x:v>
      </x:c>
      <x:c r="I12" s="13">
        <x:f>-Balance_Sheet!H14*Assumptions!$B$20</x:f>
        <x:v>-25.894219178082192</x:v>
      </x:c>
      <x:c r="J12" s="13">
        <x:f>-Balance_Sheet!I14*Assumptions!$B$20</x:f>
        <x:v>-27.96575671232877</x:v>
      </x:c>
      <x:c r="K12" s="13">
        <x:f>-Balance_Sheet!J14*Assumptions!$B$20</x:f>
        <x:v>-29.923359682191787</x:v>
      </x:c>
      <x:c r="L12" s="13">
        <x:f>-Balance_Sheet!K14*Assumptions!$B$20</x:f>
        <x:v>-31.718761263123298</x:v>
      </x:c>
    </x:row>
    <x:row r="13">
      <x:c r="A13" s="14" t="inlineStr">
        <x:is>
          <x:t xml:space="preserve">EBT</x:t>
        </x:is>
      </x:c>
      <x:c r="C13" s="13">
        <x:f>C11+C12</x:f>
        <x:v>882</x:v>
      </x:c>
      <x:c r="D13" s="13">
        <x:f>D11+D12</x:f>
        <x:v>932.1</x:v>
      </x:c>
      <x:c r="E13" s="13">
        <x:f>E11+E12</x:f>
        <x:v>1008.5000000000002</x:v>
      </x:c>
      <x:c r="F13" s="13">
        <x:f>F11+F12</x:f>
        <x:v>1086.675</x:v>
      </x:c>
      <x:c r="G13" s="13">
        <x:f>G11+G12</x:f>
        <x:v>1179.5500000000004</x:v>
      </x:c>
      <x:c r="H13" s="13">
        <x:f>H11+H12</x:f>
        <x:v>1286.6000000000006</x:v>
      </x:c>
      <x:c r="I13" s="13">
        <x:f>I11+I12</x:f>
        <x:v>1395.5747808219185</x:v>
      </x:c>
      <x:c r="J13" s="13">
        <x:f>J11+J12</x:f>
        <x:v>1493.0060732876716</x:v>
      </x:c>
      <x:c r="K13" s="13">
        <x:f>K11+K12</x:f>
        <x:v>1582.3067801178086</x:v>
      </x:c>
      <x:c r="L13" s="13">
        <x:f>L11+L12</x:f>
        <x:v>1661.1228855268773</x:v>
      </x:c>
    </x:row>
    <x:row r="14">
      <x:c r="A14" s="14" t="inlineStr">
        <x:is>
          <x:t xml:space="preserve">Taxes</x:t>
        </x:is>
      </x:c>
      <x:c r="C14" s="13">
        <x:f>-MAX(0,C13)*Assumptions!$B$19</x:f>
        <x:v>-220.5</x:v>
      </x:c>
      <x:c r="D14" s="13">
        <x:f>-MAX(0,D13)*Assumptions!$B$19</x:f>
        <x:v>-233.025</x:v>
      </x:c>
      <x:c r="E14" s="13">
        <x:f>-MAX(0,E13)*Assumptions!$B$19</x:f>
        <x:v>-252.12500000000006</x:v>
      </x:c>
      <x:c r="F14" s="13">
        <x:f>-MAX(0,F13)*Assumptions!$B$19</x:f>
        <x:v>-271.66875</x:v>
      </x:c>
      <x:c r="G14" s="13">
        <x:f>-MAX(0,G13)*Assumptions!$B$19</x:f>
        <x:v>-294.8875000000001</x:v>
      </x:c>
      <x:c r="H14" s="13">
        <x:f>-MAX(0,H13)*Assumptions!$B$19</x:f>
        <x:v>-321.65000000000015</x:v>
      </x:c>
      <x:c r="I14" s="13">
        <x:f>-MAX(0,I13)*Assumptions!$B$19</x:f>
        <x:v>-348.8936952054796</x:v>
      </x:c>
      <x:c r="J14" s="13">
        <x:f>-MAX(0,J13)*Assumptions!$B$19</x:f>
        <x:v>-373.2515183219179</x:v>
      </x:c>
      <x:c r="K14" s="13">
        <x:f>-MAX(0,K13)*Assumptions!$B$19</x:f>
        <x:v>-395.57669502945214</x:v>
      </x:c>
      <x:c r="L14" s="13">
        <x:f>-MAX(0,L13)*Assumptions!$B$19</x:f>
        <x:v>-415.28072138171933</x:v>
      </x:c>
    </x:row>
    <x:row r="15">
      <x:c r="A15" s="12" t="inlineStr">
        <x:is>
          <x:t xml:space="preserve">Net Income</x:t>
        </x:is>
      </x:c>
      <x:c r="C15" s="13">
        <x:f>C13+C14</x:f>
        <x:v>661.5</x:v>
      </x:c>
      <x:c r="D15" s="13">
        <x:f>D13+D14</x:f>
        <x:v>699.075</x:v>
      </x:c>
      <x:c r="E15" s="13">
        <x:f>E13+E14</x:f>
        <x:v>756.3750000000002</x:v>
      </x:c>
      <x:c r="F15" s="13">
        <x:f>F13+F14</x:f>
        <x:v>815.0062499999999</x:v>
      </x:c>
      <x:c r="G15" s="13">
        <x:f>G13+G14</x:f>
        <x:v>884.6625000000004</x:v>
      </x:c>
      <x:c r="H15" s="13">
        <x:f>H13+H14</x:f>
        <x:v>964.9500000000005</x:v>
      </x:c>
      <x:c r="I15" s="13">
        <x:f>I13+I14</x:f>
        <x:v>1046.6810856164388</x:v>
      </x:c>
      <x:c r="J15" s="13">
        <x:f>J13+J14</x:f>
        <x:v>1119.7545549657536</x:v>
      </x:c>
      <x:c r="K15" s="13">
        <x:f>K13+K14</x:f>
        <x:v>1186.7300850883564</x:v>
      </x:c>
      <x:c r="L15" s="13">
        <x:f>L13+L14</x:f>
        <x:v>1245.842164145158</x:v>
      </x:c>
    </x:row>
  </x:sheetData>
  <x:mergeCells>
    <x:mergeCell ref="A1:N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</x:cols>
  <x:sheetData>
    <x:row r="1" ht="26" customHeight="1">
      <x:c r="A1" s="1" t="inlineStr">
        <x:is>
          <x:t xml:space="preserve">Balance Sheet (Historical + Forecast)</x:t>
        </x:is>
      </x:c>
    </x:row>
    <x:row r="3">
      <x:c r="A3" s="11" t="inlineStr">
        <x:is>
          <x:t xml:space="preserve">($mm)</x:t>
        </x:is>
      </x:c>
    </x:row>
    <x:row r="4" ht="18" customHeight="1">
      <x:c r="A4" s="4" t="inlineStr">
        <x:is>
          <x:t xml:space="preserve">FY</x:t>
        </x:is>
      </x:c>
      <x:c r="B4" s="4" t="n"/>
      <x:c r="C4" s="4" t="n">
        <x:v>2021</x:v>
      </x:c>
      <x:c r="D4" s="4" t="n">
        <x:v>2022</x:v>
      </x:c>
      <x:c r="E4" s="4" t="n">
        <x:v>2023</x:v>
      </x:c>
      <x:c r="F4" s="4" t="n">
        <x:v>2024</x:v>
      </x:c>
      <x:c r="G4" s="4" t="n">
        <x:v>2025</x:v>
      </x:c>
      <x:c r="H4" s="4" t="n">
        <x:v>2026</x:v>
      </x:c>
      <x:c r="I4" s="4" t="n">
        <x:v>2027</x:v>
      </x:c>
      <x:c r="J4" s="4" t="n">
        <x:v>2028</x:v>
      </x:c>
      <x:c r="K4" s="4" t="n">
        <x:v>2029</x:v>
      </x:c>
      <x:c r="L4" s="4" t="n">
        <x:v>2030</x:v>
      </x:c>
    </x:row>
    <x:row r="5" ht="20" customHeight="1">
      <x:c r="A5" s="3" t="inlineStr">
        <x:is>
          <x:t xml:space="preserve">Assets</x:t>
        </x:is>
      </x:c>
    </x:row>
    <x:row r="6">
      <x:c r="A6" s="14" t="inlineStr">
        <x:is>
          <x:t xml:space="preserve">Cash</x:t>
        </x:is>
      </x:c>
      <x:c r="C6" s="13" t="n">
        <x:v>120</x:v>
      </x:c>
      <x:c r="D6" s="13" t="n">
        <x:v>150</x:v>
      </x:c>
      <x:c r="E6" s="13" t="n">
        <x:v>180</x:v>
      </x:c>
      <x:c r="F6" s="13" t="n">
        <x:v>210</x:v>
      </x:c>
      <x:c r="G6" s="13" t="n">
        <x:v>240</x:v>
      </x:c>
      <x:c r="H6" s="13">
        <x:f>IF(Assumptions!$B$27="Revolver",Income_Statement!H5*Assumptions!$B$25+MAX(0,(SUM(H14:H15,H17)+H23)-(SUM(H7:H10)+Income_Statement!H5*Assumptions!$B$25)),MAX(0,(SUM(H14:H15,H17)+H23)-(SUM(H7:H10))))</x:f>
        <x:v>965.3257191780832</x:v>
      </x:c>
      <x:c r="I6" s="13">
        <x:f>IF(Assumptions!$B$27="Revolver",Income_Statement!I5*Assumptions!$B$25+MAX(0,(SUM(I14:I15,I17)+I23)-(SUM(I7:I10)+Income_Statement!I5*Assumptions!$B$25)),MAX(0,(SUM(I14:I15,I17)+I23)-(SUM(I7:I10))))</x:f>
        <x:v>2355.270853767124</x:v>
      </x:c>
      <x:c r="J6" s="13">
        <x:f>IF(Assumptions!$B$27="Revolver",Income_Statement!J5*Assumptions!$B$25+MAX(0,(SUM(J14:J15,J17)+J23)-(SUM(J7:J10)+Income_Statement!J5*Assumptions!$B$25)),MAX(0,(SUM(J14:J15,J17)+J23)-(SUM(J7:J10))))</x:f>
        <x:v>3849.6512796061666</x:v>
      </x:c>
      <x:c r="K6" s="13">
        <x:f>IF(Assumptions!$B$27="Revolver",Income_Statement!K5*Assumptions!$B$25+MAX(0,(SUM(K14:K15,K17)+K23)-(SUM(K7:K10)+Income_Statement!K5*Assumptions!$B$25)),MAX(0,(SUM(K14:K15,K17)+K23)-(SUM(K7:K10))))</x:f>
        <x:v>5441.377865370617</x:v>
      </x:c>
      <x:c r="L6" s="13">
        <x:f>IF(Assumptions!$B$27="Revolver",Income_Statement!L5*Assumptions!$B$25+MAX(0,(SUM(L14:L15,L17)+L23)-(SUM(L7:L10)+Income_Statement!L5*Assumptions!$B$25)),MAX(0,(SUM(L14:L15,L17)+L23)-(SUM(L7:L10))))</x:f>
        <x:v>7120.886562444616</x:v>
      </x:c>
    </x:row>
    <x:row r="7">
      <x:c r="A7" s="14" t="inlineStr">
        <x:is>
          <x:t xml:space="preserve">Accounts Receivable</x:t>
        </x:is>
      </x:c>
      <x:c r="C7" s="13" t="n">
        <x:v>520</x:v>
      </x:c>
      <x:c r="D7" s="13" t="n">
        <x:v>560</x:v>
      </x:c>
      <x:c r="E7" s="13" t="n">
        <x:v>605</x:v>
      </x:c>
      <x:c r="F7" s="13" t="n">
        <x:v>650</x:v>
      </x:c>
      <x:c r="G7" s="13" t="n">
        <x:v>705</x:v>
      </x:c>
      <x:c r="H7" s="13">
        <x:f>Income_Statement!H5*Assumptions!$B$21/365</x:f>
        <x:v>772.7054794520549</x:v>
      </x:c>
      <x:c r="I7" s="13">
        <x:f>Income_Statement!I5*Assumptions!$B$21/365</x:f>
        <x:v>834.5219178082193</x:v>
      </x:c>
      <x:c r="J7" s="13">
        <x:f>Income_Statement!J5*Assumptions!$B$21/365</x:f>
        <x:v>892.9384520547947</x:v>
      </x:c>
      <x:c r="K7" s="13">
        <x:f>Income_Statement!K5*Assumptions!$B$21/365</x:f>
        <x:v>946.5147591780824</x:v>
      </x:c>
      <x:c r="L7" s="13">
        <x:f>Income_Statement!L5*Assumptions!$B$21/365</x:f>
        <x:v>993.8404971369865</x:v>
      </x:c>
    </x:row>
    <x:row r="8">
      <x:c r="A8" s="14" t="inlineStr">
        <x:is>
          <x:t xml:space="preserve">Inventory</x:t>
        </x:is>
      </x:c>
      <x:c r="C8" s="13" t="n">
        <x:v>410</x:v>
      </x:c>
      <x:c r="D8" s="13" t="n">
        <x:v>430</x:v>
      </x:c>
      <x:c r="E8" s="13" t="n">
        <x:v>455</x:v>
      </x:c>
      <x:c r="F8" s="13" t="n">
        <x:v>480</x:v>
      </x:c>
      <x:c r="G8" s="13" t="n">
        <x:v>510</x:v>
      </x:c>
      <x:c r="H8" s="13">
        <x:f>-Income_Statement!H6*Assumptions!$B$22/365</x:f>
        <x:v>597.558904109589</x:v>
      </x:c>
      <x:c r="I8" s="13">
        <x:f>-Income_Statement!I6*Assumptions!$B$22/365</x:f>
        <x:v>645.3636164383562</x:v>
      </x:c>
      <x:c r="J8" s="13">
        <x:f>-Income_Statement!J6*Assumptions!$B$22/365</x:f>
        <x:v>690.5390695890412</x:v>
      </x:c>
      <x:c r="K8" s="13">
        <x:f>-Income_Statement!K6*Assumptions!$B$22/365</x:f>
        <x:v>731.9714137643838</x:v>
      </x:c>
      <x:c r="L8" s="13">
        <x:f>-Income_Statement!L6*Assumptions!$B$22/365</x:f>
        <x:v>768.569984452603</x:v>
      </x:c>
    </x:row>
    <x:row r="9">
      <x:c r="A9" s="14" t="inlineStr">
        <x:is>
          <x:t xml:space="preserve">PP&amp;E, Net</x:t>
        </x:is>
      </x:c>
      <x:c r="C9" s="13" t="n">
        <x:v>980</x:v>
      </x:c>
      <x:c r="D9" s="13" t="n">
        <x:v>1040</x:v>
      </x:c>
      <x:c r="E9" s="13" t="n">
        <x:v>1120</x:v>
      </x:c>
      <x:c r="F9" s="13" t="n">
        <x:v>1210</x:v>
      </x:c>
      <x:c r="G9" s="13" t="n">
        <x:v>1325</x:v>
      </x:c>
      <x:c r="H9" s="13">
        <x:f>G9 + (-Income_Statement!H5*Assumptions!$B$18) - (-Income_Statement!H10)</x:f>
        <x:v>854.9375</x:v>
      </x:c>
      <x:c r="I9" s="13">
        <x:f>H9 + (-Income_Statement!I5*Assumptions!$B$18) - (-Income_Statement!I10)</x:f>
        <x:v>347.27</x:v>
      </x:c>
      <x:c r="J9" s="13">
        <x:f>I9 + (-Income_Statement!J5*Assumptions!$B$18) - (-Income_Statement!J10)</x:f>
        <x:v>-195.93422500000017</x:v>
      </x:c>
      <x:c r="K9" s="13">
        <x:f>J9 + (-Income_Statement!K5*Assumptions!$B$18) - (-Income_Statement!K10)</x:f>
        <x:v>-771.7307035000003</x:v>
      </x:c>
      <x:c r="L9" s="13">
        <x:f>K9 + (-Income_Statement!L5*Assumptions!$B$18) - (-Income_Statement!L10)</x:f>
        <x:v>-1376.3170059250006</x:v>
      </x:c>
    </x:row>
    <x:row r="10">
      <x:c r="A10" s="14" t="inlineStr">
        <x:is>
          <x:t xml:space="preserve">Other Assets</x:t>
        </x:is>
      </x:c>
      <x:c r="C10" s="13" t="n">
        <x:v>220</x:v>
      </x:c>
      <x:c r="D10" s="13" t="n">
        <x:v>230</x:v>
      </x:c>
      <x:c r="E10" s="13" t="n">
        <x:v>240</x:v>
      </x:c>
      <x:c r="F10" s="13" t="n">
        <x:v>250</x:v>
      </x:c>
      <x:c r="G10" s="13" t="n">
        <x:v>260</x:v>
      </x:c>
      <x:c r="H10" s="13">
        <x:f>G10*(1+0.02)</x:f>
        <x:v>265.2</x:v>
      </x:c>
      <x:c r="I10" s="13">
        <x:f>H10*(1+0.02)</x:f>
        <x:v>270.504</x:v>
      </x:c>
      <x:c r="J10" s="13">
        <x:f>I10*(1+0.02)</x:f>
        <x:v>275.91408</x:v>
      </x:c>
      <x:c r="K10" s="13">
        <x:f>J10*(1+0.02)</x:f>
        <x:v>281.43236160000004</x:v>
      </x:c>
      <x:c r="L10" s="13">
        <x:f>K10*(1+0.02)</x:f>
        <x:v>287.061008832</x:v>
      </x:c>
    </x:row>
    <x:row r="11">
      <x:c r="A11" s="12" t="inlineStr">
        <x:is>
          <x:t xml:space="preserve">Total Assets</x:t>
        </x:is>
      </x:c>
      <x:c r="C11" s="13">
        <x:f>SUM(C6:C10)</x:f>
        <x:v>2250</x:v>
      </x:c>
      <x:c r="D11" s="13">
        <x:f>SUM(D6:D10)</x:f>
        <x:v>2410</x:v>
      </x:c>
      <x:c r="E11" s="13">
        <x:f>SUM(E6:E10)</x:f>
        <x:v>2600</x:v>
      </x:c>
      <x:c r="F11" s="13">
        <x:f>SUM(F6:F10)</x:f>
        <x:v>2800</x:v>
      </x:c>
      <x:c r="G11" s="13">
        <x:f>SUM(G6:G10)</x:f>
        <x:v>3040</x:v>
      </x:c>
      <x:c r="H11" s="13">
        <x:f>SUM(H6:H10)</x:f>
        <x:v>3455.727602739727</x:v>
      </x:c>
      <x:c r="I11" s="13">
        <x:f>SUM(I6:I10)</x:f>
        <x:v>4452.9303880136995</x:v>
      </x:c>
      <x:c r="J11" s="13">
        <x:f>SUM(J6:J10)</x:f>
        <x:v>5513.108656250002</x:v>
      </x:c>
      <x:c r="K11" s="13">
        <x:f>SUM(K6:K10)</x:f>
        <x:v>6629.565696413083</x:v>
      </x:c>
      <x:c r="L11" s="13">
        <x:f>SUM(L6:L10)</x:f>
        <x:v>7794.041046941205</x:v>
      </x:c>
    </x:row>
    <x:row r="12">
      <x:c r="C12" s="13" t="n"/>
      <x:c r="D12" s="13" t="n"/>
      <x:c r="E12" s="13" t="n"/>
      <x:c r="F12" s="13" t="n"/>
      <x:c r="G12" s="13" t="n"/>
      <x:c r="H12" s="13" t="n"/>
      <x:c r="I12" s="13" t="n"/>
      <x:c r="J12" s="13" t="n"/>
      <x:c r="K12" s="13" t="n"/>
      <x:c r="L12" s="13" t="n"/>
    </x:row>
    <x:row r="13" ht="20" customHeight="1">
      <x:c r="A13" s="3" t="inlineStr">
        <x:is>
          <x:t xml:space="preserve">Liabilities</x:t>
        </x:is>
      </x:c>
      <x:c r="C13" s="13" t="n"/>
      <x:c r="D13" s="13" t="n"/>
      <x:c r="E13" s="13" t="n"/>
      <x:c r="F13" s="13" t="n"/>
      <x:c r="G13" s="13" t="n"/>
      <x:c r="H13" s="13" t="n"/>
      <x:c r="I13" s="13" t="n"/>
      <x:c r="J13" s="13" t="n"/>
      <x:c r="K13" s="13" t="n"/>
      <x:c r="L13" s="13" t="n"/>
    </x:row>
    <x:row r="14">
      <x:c r="A14" s="14" t="inlineStr">
        <x:is>
          <x:t xml:space="preserve">Accounts Payable</x:t>
        </x:is>
      </x:c>
      <x:c r="C14" s="13" t="n">
        <x:v>360</x:v>
      </x:c>
      <x:c r="D14" s="13" t="n">
        <x:v>380</x:v>
      </x:c>
      <x:c r="E14" s="13" t="n">
        <x:v>405</x:v>
      </x:c>
      <x:c r="F14" s="13" t="n">
        <x:v>430</x:v>
      </x:c>
      <x:c r="G14" s="13" t="n">
        <x:v>455</x:v>
      </x:c>
      <x:c r="H14" s="13">
        <x:f>-Income_Statement!H6*Assumptions!$B$23/365</x:f>
        <x:v>398.372602739726</x:v>
      </x:c>
      <x:c r="I14" s="13">
        <x:f>-Income_Statement!I6*Assumptions!$B$23/365</x:f>
        <x:v>430.24241095890414</x:v>
      </x:c>
      <x:c r="J14" s="13">
        <x:f>-Income_Statement!J6*Assumptions!$B$23/365</x:f>
        <x:v>460.3593797260275</x:v>
      </x:c>
      <x:c r="K14" s="13">
        <x:f>-Income_Statement!K6*Assumptions!$B$23/365</x:f>
        <x:v>487.98094250958917</x:v>
      </x:c>
      <x:c r="L14" s="13">
        <x:f>-Income_Statement!L6*Assumptions!$B$23/365</x:f>
        <x:v>512.3799896350686</x:v>
      </x:c>
    </x:row>
    <x:row r="15">
      <x:c r="A15" s="14" t="inlineStr">
        <x:is>
          <x:t xml:space="preserve">Accrued Expenses</x:t>
        </x:is>
      </x:c>
      <x:c r="C15" s="13" t="n">
        <x:v>160</x:v>
      </x:c>
      <x:c r="D15" s="13" t="n">
        <x:v>170</x:v>
      </x:c>
      <x:c r="E15" s="13" t="n">
        <x:v>182</x:v>
      </x:c>
      <x:c r="F15" s="13" t="n">
        <x:v>195</x:v>
      </x:c>
      <x:c r="G15" s="13" t="n">
        <x:v>210</x:v>
      </x:c>
      <x:c r="H15" s="13">
        <x:f>Income_Statement!H5*Assumptions!$B$24</x:f>
        <x:v>250.70000000000005</x:v>
      </x:c>
      <x:c r="I15" s="13">
        <x:f>Income_Statement!I5*Assumptions!$B$24</x:f>
        <x:v>270.7560000000001</x:v>
      </x:c>
      <x:c r="J15" s="13">
        <x:f>Income_Statement!J5*Assumptions!$B$24</x:f>
        <x:v>289.7089200000001</x:v>
      </x:c>
      <x:c r="K15" s="13">
        <x:f>Income_Statement!K5*Assumptions!$B$24</x:f>
        <x:v>307.0914552000001</x:v>
      </x:c>
      <x:c r="L15" s="13">
        <x:f>Income_Statement!L5*Assumptions!$B$24</x:f>
        <x:v>322.4460279600001</x:v>
      </x:c>
    </x:row>
    <x:row r="16">
      <x:c r="A16" s="14" t="inlineStr">
        <x:is>
          <x:t xml:space="preserve">Revolver Debt</x:t>
        </x:is>
      </x:c>
      <x:c r="C16" s="13" t="n">
        <x:v>200</x:v>
      </x:c>
      <x:c r="D16" s="13" t="n">
        <x:v>180</x:v>
      </x:c>
      <x:c r="E16" s="13" t="n">
        <x:v>150</x:v>
      </x:c>
      <x:c r="F16" s="13" t="n">
        <x:v>120</x:v>
      </x:c>
      <x:c r="G16" s="13" t="n">
        <x:v>100</x:v>
      </x:c>
      <x:c r="H16" s="13">
        <x:f>IF(Assumptions!$B$27="Revolver",MAX(0,(SUM(H7:H10)+Income_Statement!H5*Assumptions!$B$25)-(SUM(H14:H15,H17)+H23)),MAX(0,(SUM(H7:H10))-(SUM(H14:H15,H17)+H23)))</x:f>
        <x:v>0</x:v>
      </x:c>
      <x:c r="I16" s="13">
        <x:f>IF(Assumptions!$B$27="Revolver",MAX(0,(SUM(I7:I10)+Income_Statement!I5*Assumptions!$B$25)-(SUM(I14:I15,I17)+I23)),MAX(0,(SUM(I7:I10))-(SUM(I14:I15,I17)+I23)))</x:f>
        <x:v>0</x:v>
      </x:c>
      <x:c r="J16" s="13">
        <x:f>IF(Assumptions!$B$27="Revolver",MAX(0,(SUM(J7:J10)+Income_Statement!J5*Assumptions!$B$25)-(SUM(J14:J15,J17)+J23)),MAX(0,(SUM(J7:J10))-(SUM(J14:J15,J17)+J23)))</x:f>
        <x:v>0</x:v>
      </x:c>
      <x:c r="K16" s="13">
        <x:f>IF(Assumptions!$B$27="Revolver",MAX(0,(SUM(K7:K10)+Income_Statement!K5*Assumptions!$B$25)-(SUM(K14:K15,K17)+K23)),MAX(0,(SUM(K7:K10))-(SUM(K14:K15,K17)+K23)))</x:f>
        <x:v>0</x:v>
      </x:c>
      <x:c r="L16" s="13">
        <x:f>IF(Assumptions!$B$27="Revolver",MAX(0,(SUM(L7:L10)+Income_Statement!L5*Assumptions!$B$25)-(SUM(L14:L15,L17)+L23)),MAX(0,(SUM(L7:L10))-(SUM(L14:L15,L17)+L23)))</x:f>
        <x:v>0</x:v>
      </x:c>
    </x:row>
    <x:row r="17">
      <x:c r="A17" s="14" t="inlineStr">
        <x:is>
          <x:t xml:space="preserve">Other Liabilities</x:t>
        </x:is>
      </x:c>
      <x:c r="C17" s="13" t="n">
        <x:v>140</x:v>
      </x:c>
      <x:c r="D17" s="13" t="n">
        <x:v>145</x:v>
      </x:c>
      <x:c r="E17" s="13" t="n">
        <x:v>150</x:v>
      </x:c>
      <x:c r="F17" s="13" t="n">
        <x:v>155</x:v>
      </x:c>
      <x:c r="G17" s="13" t="n">
        <x:v>160</x:v>
      </x:c>
      <x:c r="H17" s="13">
        <x:f>G17*(1+0.02)</x:f>
        <x:v>163.2</x:v>
      </x:c>
      <x:c r="I17" s="13">
        <x:f>H17*(1+0.02)</x:f>
        <x:v>166.464</x:v>
      </x:c>
      <x:c r="J17" s="13">
        <x:f>I17*(1+0.02)</x:f>
        <x:v>169.79328</x:v>
      </x:c>
      <x:c r="K17" s="13">
        <x:f>J17*(1+0.02)</x:f>
        <x:v>173.18914560000002</x:v>
      </x:c>
      <x:c r="L17" s="13">
        <x:f>K17*(1+0.02)</x:f>
        <x:v>176.65292851200002</x:v>
      </x:c>
    </x:row>
    <x:row r="18">
      <x:c r="A18" s="12" t="inlineStr">
        <x:is>
          <x:t xml:space="preserve">Total Liabilities</x:t>
        </x:is>
      </x:c>
      <x:c r="C18" s="13">
        <x:f>SUM(C14:C17)</x:f>
        <x:v>860</x:v>
      </x:c>
      <x:c r="D18" s="13">
        <x:f>SUM(D14:D17)</x:f>
        <x:v>875</x:v>
      </x:c>
      <x:c r="E18" s="13">
        <x:f>SUM(E14:E17)</x:f>
        <x:v>887</x:v>
      </x:c>
      <x:c r="F18" s="13">
        <x:f>SUM(F14:F17)</x:f>
        <x:v>900</x:v>
      </x:c>
      <x:c r="G18" s="13">
        <x:f>SUM(G14:G17)</x:f>
        <x:v>925</x:v>
      </x:c>
      <x:c r="H18" s="13">
        <x:f>SUM(H14:H17)</x:f>
        <x:v>812.272602739726</x:v>
      </x:c>
      <x:c r="I18" s="13">
        <x:f>SUM(I14:I17)</x:f>
        <x:v>867.4624109589042</x:v>
      </x:c>
      <x:c r="J18" s="13">
        <x:f>SUM(J14:J17)</x:f>
        <x:v>919.8615797260277</x:v>
      </x:c>
      <x:c r="K18" s="13">
        <x:f>SUM(K14:K17)</x:f>
        <x:v>968.2615433095893</x:v>
      </x:c>
      <x:c r="L18" s="13">
        <x:f>SUM(L14:L17)</x:f>
        <x:v>1011.4789461070686</x:v>
      </x:c>
    </x:row>
    <x:row r="19">
      <x:c r="C19" s="13" t="n"/>
      <x:c r="D19" s="13" t="n"/>
      <x:c r="E19" s="13" t="n"/>
      <x:c r="F19" s="13" t="n"/>
      <x:c r="G19" s="13" t="n"/>
      <x:c r="H19" s="13" t="n"/>
      <x:c r="I19" s="13" t="n"/>
      <x:c r="J19" s="13" t="n"/>
      <x:c r="K19" s="13" t="n"/>
      <x:c r="L19" s="13" t="n"/>
    </x:row>
    <x:row r="20" ht="20" customHeight="1">
      <x:c r="A20" s="3" t="inlineStr">
        <x:is>
          <x:t xml:space="preserve">Equity</x:t>
        </x:is>
      </x:c>
      <x:c r="C20" s="13" t="n"/>
      <x:c r="D20" s="13" t="n"/>
      <x:c r="E20" s="13" t="n"/>
      <x:c r="F20" s="13" t="n"/>
      <x:c r="G20" s="13" t="n"/>
      <x:c r="H20" s="13" t="n"/>
      <x:c r="I20" s="13" t="n"/>
      <x:c r="J20" s="13" t="n"/>
      <x:c r="K20" s="13" t="n"/>
      <x:c r="L20" s="13" t="n"/>
    </x:row>
    <x:row r="21">
      <x:c r="A21" s="12" t="inlineStr">
        <x:is>
          <x:t xml:space="preserve">Common Stock</x:t>
        </x:is>
      </x:c>
      <x:c r="C21" s="13" t="n">
        <x:v>600</x:v>
      </x:c>
      <x:c r="D21" s="13" t="n">
        <x:v>600</x:v>
      </x:c>
      <x:c r="E21" s="13" t="n">
        <x:v>600</x:v>
      </x:c>
      <x:c r="F21" s="13" t="n">
        <x:v>600</x:v>
      </x:c>
      <x:c r="G21" s="13" t="n">
        <x:v>600</x:v>
      </x:c>
      <x:c r="H21" s="13">
        <x:f>G21</x:f>
        <x:v>600</x:v>
      </x:c>
      <x:c r="I21" s="13">
        <x:f>H21</x:f>
        <x:v>600</x:v>
      </x:c>
      <x:c r="J21" s="13">
        <x:f>I21</x:f>
        <x:v>600</x:v>
      </x:c>
      <x:c r="K21" s="13">
        <x:f>J21</x:f>
        <x:v>600</x:v>
      </x:c>
      <x:c r="L21" s="13">
        <x:f>K21</x:f>
        <x:v>600</x:v>
      </x:c>
    </x:row>
    <x:row r="22">
      <x:c r="A22" s="12" t="inlineStr">
        <x:is>
          <x:t xml:space="preserve">Retained Earnings</x:t>
        </x:is>
      </x:c>
      <x:c r="C22" s="13" t="n">
        <x:v>410</x:v>
      </x:c>
      <x:c r="D22" s="13" t="n">
        <x:v>535</x:v>
      </x:c>
      <x:c r="E22" s="13" t="n">
        <x:v>713</x:v>
      </x:c>
      <x:c r="F22" s="13" t="n">
        <x:v>950</x:v>
      </x:c>
      <x:c r="G22" s="13" t="n">
        <x:v>1175</x:v>
      </x:c>
      <x:c r="H22" s="13">
        <x:f>G22 + Income_Statement!H15 - (Income_Statement!H15*Assumptions!$B$26)</x:f>
        <x:v>2043.4550000000006</x:v>
      </x:c>
      <x:c r="I22" s="13">
        <x:f>H22 + Income_Statement!I15 - (Income_Statement!I15*Assumptions!$B$26)</x:f>
        <x:v>2985.4679770547955</x:v>
      </x:c>
      <x:c r="J22" s="13">
        <x:f>I22 + Income_Statement!J15 - (Income_Statement!J15*Assumptions!$B$26)</x:f>
        <x:v>3993.2470765239736</x:v>
      </x:c>
      <x:c r="K22" s="13">
        <x:f>J22 + Income_Statement!K15 - (Income_Statement!K15*Assumptions!$B$26)</x:f>
        <x:v>5061.304153103494</x:v>
      </x:c>
      <x:c r="L22" s="13">
        <x:f>K22 + Income_Statement!L15 - (Income_Statement!L15*Assumptions!$B$26)</x:f>
        <x:v>6182.562100834136</x:v>
      </x:c>
    </x:row>
    <x:row r="23">
      <x:c r="A23" s="12" t="inlineStr">
        <x:is>
          <x:t xml:space="preserve">Total Equity</x:t>
        </x:is>
      </x:c>
      <x:c r="C23" s="13">
        <x:f>SUM(C21:C22)</x:f>
        <x:v>1010</x:v>
      </x:c>
      <x:c r="D23" s="13">
        <x:f>SUM(D21:D22)</x:f>
        <x:v>1135</x:v>
      </x:c>
      <x:c r="E23" s="13">
        <x:f>SUM(E21:E22)</x:f>
        <x:v>1313</x:v>
      </x:c>
      <x:c r="F23" s="13">
        <x:f>SUM(F21:F22)</x:f>
        <x:v>1550</x:v>
      </x:c>
      <x:c r="G23" s="13">
        <x:f>SUM(G21:G22)</x:f>
        <x:v>1775</x:v>
      </x:c>
      <x:c r="H23" s="13">
        <x:f>SUM(H21:H22)</x:f>
        <x:v>2643.455000000001</x:v>
      </x:c>
      <x:c r="I23" s="13">
        <x:f>SUM(I21:I22)</x:f>
        <x:v>3585.4679770547955</x:v>
      </x:c>
      <x:c r="J23" s="13">
        <x:f>SUM(J21:J22)</x:f>
        <x:v>4593.247076523974</x:v>
      </x:c>
      <x:c r="K23" s="13">
        <x:f>SUM(K21:K22)</x:f>
        <x:v>5661.304153103494</x:v>
      </x:c>
      <x:c r="L23" s="13">
        <x:f>SUM(L21:L22)</x:f>
        <x:v>6782.562100834136</x:v>
      </x:c>
    </x:row>
    <x:row r="24">
      <x:c r="A24" s="12" t="inlineStr">
        <x:is>
          <x:t xml:space="preserve">Total Liabilities &amp; Equity</x:t>
        </x:is>
      </x:c>
      <x:c r="C24" s="13">
        <x:f>C18+C23</x:f>
        <x:v>1870</x:v>
      </x:c>
      <x:c r="D24" s="13">
        <x:f>D18+D23</x:f>
        <x:v>2010</x:v>
      </x:c>
      <x:c r="E24" s="13">
        <x:f>E18+E23</x:f>
        <x:v>2200</x:v>
      </x:c>
      <x:c r="F24" s="13">
        <x:f>F18+F23</x:f>
        <x:v>2450</x:v>
      </x:c>
      <x:c r="G24" s="13">
        <x:f>G18+G23</x:f>
        <x:v>2700</x:v>
      </x:c>
      <x:c r="H24" s="13">
        <x:f>H18+H23</x:f>
        <x:v>3455.727602739727</x:v>
      </x:c>
      <x:c r="I24" s="13">
        <x:f>I18+I23</x:f>
        <x:v>4452.9303880136995</x:v>
      </x:c>
      <x:c r="J24" s="13">
        <x:f>J18+J23</x:f>
        <x:v>5513.108656250002</x:v>
      </x:c>
      <x:c r="K24" s="13">
        <x:f>K18+K23</x:f>
        <x:v>6629.565696413083</x:v>
      </x:c>
      <x:c r="L24" s="13">
        <x:f>L18+L23</x:f>
        <x:v>7794.0410469412045</x:v>
      </x:c>
    </x:row>
  </x:sheetData>
  <x:mergeCells>
    <x:mergeCell ref="A13:L13"/>
    <x:mergeCell ref="A20:L20"/>
    <x:mergeCell ref="A5:L5"/>
    <x:mergeCell ref="A1:N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</x:cols>
  <x:sheetData>
    <x:row r="1" ht="26" customHeight="1">
      <x:c r="A1" s="1" t="inlineStr">
        <x:is>
          <x:t xml:space="preserve">Cash Flow Statement (Historical + Forecast)</x:t>
        </x:is>
      </x:c>
    </x:row>
    <x:row r="3">
      <x:c r="A3" s="11" t="inlineStr">
        <x:is>
          <x:t xml:space="preserve">($mm)</x:t>
        </x:is>
      </x:c>
    </x:row>
    <x:row r="4" ht="18" customHeight="1">
      <x:c r="A4" s="4" t="inlineStr">
        <x:is>
          <x:t xml:space="preserve">FY</x:t>
        </x:is>
      </x:c>
      <x:c r="B4" s="4" t="n"/>
      <x:c r="C4" s="4" t="n">
        <x:v>2021</x:v>
      </x:c>
      <x:c r="D4" s="4" t="n">
        <x:v>2022</x:v>
      </x:c>
      <x:c r="E4" s="4" t="n">
        <x:v>2023</x:v>
      </x:c>
      <x:c r="F4" s="4" t="n">
        <x:v>2024</x:v>
      </x:c>
      <x:c r="G4" s="4" t="n">
        <x:v>2025</x:v>
      </x:c>
      <x:c r="H4" s="4" t="n">
        <x:v>2026</x:v>
      </x:c>
      <x:c r="I4" s="4" t="n">
        <x:v>2027</x:v>
      </x:c>
      <x:c r="J4" s="4" t="n">
        <x:v>2028</x:v>
      </x:c>
      <x:c r="K4" s="4" t="n">
        <x:v>2029</x:v>
      </x:c>
      <x:c r="L4" s="4" t="n">
        <x:v>2030</x:v>
      </x:c>
    </x:row>
    <x:row r="5" ht="20" customHeight="1">
      <x:c r="A5" s="3" t="inlineStr">
        <x:is>
          <x:t xml:space="preserve">Cash Flow from Operations</x:t>
        </x:is>
      </x:c>
    </x:row>
    <x:row r="6">
      <x:c r="A6" s="14" t="inlineStr">
        <x:is>
          <x:t xml:space="preserve">Net Income</x:t>
        </x:is>
      </x:c>
      <x:c r="C6" s="13">
        <x:f>Income_Statement!C15</x:f>
        <x:v>661.5</x:v>
      </x:c>
      <x:c r="D6" s="13">
        <x:f>Income_Statement!D15</x:f>
        <x:v>699.075</x:v>
      </x:c>
      <x:c r="E6" s="13">
        <x:f>Income_Statement!E15</x:f>
        <x:v>756.3750000000002</x:v>
      </x:c>
      <x:c r="F6" s="13">
        <x:f>Income_Statement!F15</x:f>
        <x:v>815.0062499999999</x:v>
      </x:c>
      <x:c r="G6" s="13">
        <x:f>Income_Statement!G15</x:f>
        <x:v>884.6625000000004</x:v>
      </x:c>
      <x:c r="H6" s="13">
        <x:f>Income_Statement!H15</x:f>
        <x:v>964.9500000000005</x:v>
      </x:c>
      <x:c r="I6" s="13">
        <x:f>Income_Statement!I15</x:f>
        <x:v>1046.6810856164388</x:v>
      </x:c>
      <x:c r="J6" s="13">
        <x:f>Income_Statement!J15</x:f>
        <x:v>1119.7545549657536</x:v>
      </x:c>
      <x:c r="K6" s="13">
        <x:f>Income_Statement!K15</x:f>
        <x:v>1186.7300850883564</x:v>
      </x:c>
      <x:c r="L6" s="13">
        <x:f>Income_Statement!L15</x:f>
        <x:v>1245.842164145158</x:v>
      </x:c>
    </x:row>
    <x:row r="7">
      <x:c r="A7" s="14" t="inlineStr">
        <x:is>
          <x:t xml:space="preserve">Add: D&amp;A</x:t>
        </x:is>
      </x:c>
      <x:c r="C7" s="13">
        <x:f>-Income_Statement!C10</x:f>
        <x:v>126</x:v>
      </x:c>
      <x:c r="D7" s="13">
        <x:f>-Income_Statement!D10</x:f>
        <x:v>136.5</x:v>
      </x:c>
      <x:c r="E7" s="13">
        <x:f>-Income_Statement!E10</x:f>
        <x:v>147.6</x:v>
      </x:c>
      <x:c r="F7" s="13">
        <x:f>-Income_Statement!F10</x:f>
        <x:v>159</x:v>
      </x:c>
      <x:c r="G7" s="13">
        <x:f>-Income_Statement!G10</x:f>
        <x:v>172.5</x:v>
      </x:c>
      <x:c r="H7" s="13">
        <x:f>-Income_Statement!H10</x:f>
        <x:v>188.02500000000003</x:v>
      </x:c>
      <x:c r="I7" s="13">
        <x:f>-Income_Statement!I10</x:f>
        <x:v>203.06700000000004</x:v>
      </x:c>
      <x:c r="J7" s="13">
        <x:f>-Income_Statement!J10</x:f>
        <x:v>217.28169000000005</x:v>
      </x:c>
      <x:c r="K7" s="13">
        <x:f>-Income_Statement!K10</x:f>
        <x:v>230.31859140000006</x:v>
      </x:c>
      <x:c r="L7" s="13">
        <x:f>-Income_Statement!L10</x:f>
        <x:v>241.83452097000006</x:v>
      </x:c>
    </x:row>
    <x:row r="8">
      <x:c r="A8" s="14" t="inlineStr">
        <x:is>
          <x:t xml:space="preserve">Change in AR</x:t>
        </x:is>
      </x:c>
      <x:c r="C8" s="13">
        <x:f>0</x:f>
        <x:v>0</x:v>
      </x:c>
      <x:c r="D8" s="13">
        <x:f>-(Balance_Sheet!D7-Balance_Sheet!C7)</x:f>
        <x:v>-40</x:v>
      </x:c>
      <x:c r="E8" s="13">
        <x:f>-(Balance_Sheet!E7-Balance_Sheet!D7)</x:f>
        <x:v>-45</x:v>
      </x:c>
      <x:c r="F8" s="13">
        <x:f>-(Balance_Sheet!F7-Balance_Sheet!E7)</x:f>
        <x:v>-45</x:v>
      </x:c>
      <x:c r="G8" s="13">
        <x:f>-(Balance_Sheet!G7-Balance_Sheet!F7)</x:f>
        <x:v>-55</x:v>
      </x:c>
      <x:c r="H8" s="13">
        <x:f>-(Balance_Sheet!H7-Balance_Sheet!G7)</x:f>
        <x:v>-67.70547945205487</x:v>
      </x:c>
      <x:c r="I8" s="13">
        <x:f>-(Balance_Sheet!I7-Balance_Sheet!H7)</x:f>
        <x:v>-61.81643835616444</x:v>
      </x:c>
      <x:c r="J8" s="13">
        <x:f>-(Balance_Sheet!J7-Balance_Sheet!I7)</x:f>
        <x:v>-58.41653424657534</x:v>
      </x:c>
      <x:c r="K8" s="13">
        <x:f>-(Balance_Sheet!K7-Balance_Sheet!J7)</x:f>
        <x:v>-53.576307123287734</x:v>
      </x:c>
      <x:c r="L8" s="13">
        <x:f>-(Balance_Sheet!L7-Balance_Sheet!K7)</x:f>
        <x:v>-47.32573795890414</x:v>
      </x:c>
    </x:row>
    <x:row r="9">
      <x:c r="A9" s="14" t="inlineStr">
        <x:is>
          <x:t xml:space="preserve">Change in Inventory</x:t>
        </x:is>
      </x:c>
      <x:c r="C9" s="13">
        <x:f>0</x:f>
        <x:v>0</x:v>
      </x:c>
      <x:c r="D9" s="13">
        <x:f>-(Balance_Sheet!D8-Balance_Sheet!C8)</x:f>
        <x:v>-20</x:v>
      </x:c>
      <x:c r="E9" s="13">
        <x:f>-(Balance_Sheet!E8-Balance_Sheet!D8)</x:f>
        <x:v>-25</x:v>
      </x:c>
      <x:c r="F9" s="13">
        <x:f>-(Balance_Sheet!F8-Balance_Sheet!E8)</x:f>
        <x:v>-25</x:v>
      </x:c>
      <x:c r="G9" s="13">
        <x:f>-(Balance_Sheet!G8-Balance_Sheet!F8)</x:f>
        <x:v>-30</x:v>
      </x:c>
      <x:c r="H9" s="13">
        <x:f>-(Balance_Sheet!H8-Balance_Sheet!G8)</x:f>
        <x:v>-87.55890410958898</x:v>
      </x:c>
      <x:c r="I9" s="13">
        <x:f>-(Balance_Sheet!I8-Balance_Sheet!H8)</x:f>
        <x:v>-47.80471232876721</x:v>
      </x:c>
      <x:c r="J9" s="13">
        <x:f>-(Balance_Sheet!J8-Balance_Sheet!I8)</x:f>
        <x:v>-45.17545315068503</x:v>
      </x:c>
      <x:c r="K9" s="13">
        <x:f>-(Balance_Sheet!K8-Balance_Sheet!J8)</x:f>
        <x:v>-41.432344175342564</x:v>
      </x:c>
      <x:c r="L9" s="13">
        <x:f>-(Balance_Sheet!L8-Balance_Sheet!K8)</x:f>
        <x:v>-36.59857068821918</x:v>
      </x:c>
    </x:row>
    <x:row r="10">
      <x:c r="A10" s="14" t="inlineStr">
        <x:is>
          <x:t xml:space="preserve">Change in AP</x:t>
        </x:is>
      </x:c>
      <x:c r="C10" s="13">
        <x:f>0</x:f>
        <x:v>0</x:v>
      </x:c>
      <x:c r="D10" s="13">
        <x:f>(Balance_Sheet!D14-Balance_Sheet!C14)</x:f>
        <x:v>20</x:v>
      </x:c>
      <x:c r="E10" s="13">
        <x:f>(Balance_Sheet!E14-Balance_Sheet!D14)</x:f>
        <x:v>25</x:v>
      </x:c>
      <x:c r="F10" s="13">
        <x:f>(Balance_Sheet!F14-Balance_Sheet!E14)</x:f>
        <x:v>25</x:v>
      </x:c>
      <x:c r="G10" s="13">
        <x:f>(Balance_Sheet!G14-Balance_Sheet!F14)</x:f>
        <x:v>25</x:v>
      </x:c>
      <x:c r="H10" s="13">
        <x:f>(Balance_Sheet!H14-Balance_Sheet!G14)</x:f>
        <x:v>-56.627397260273995</x:v>
      </x:c>
      <x:c r="I10" s="13">
        <x:f>(Balance_Sheet!I14-Balance_Sheet!H14)</x:f>
        <x:v>31.86980821917814</x:v>
      </x:c>
      <x:c r="J10" s="13">
        <x:f>(Balance_Sheet!J14-Balance_Sheet!I14)</x:f>
        <x:v>30.116968767123353</x:v>
      </x:c>
      <x:c r="K10" s="13">
        <x:f>(Balance_Sheet!K14-Balance_Sheet!J14)</x:f>
        <x:v>27.62156278356167</x:v>
      </x:c>
      <x:c r="L10" s="13">
        <x:f>(Balance_Sheet!L14-Balance_Sheet!K14)</x:f>
        <x:v>24.3990471254794</x:v>
      </x:c>
    </x:row>
    <x:row r="11">
      <x:c r="A11" s="14" t="inlineStr">
        <x:is>
          <x:t xml:space="preserve">Change in Accrued Exp.</x:t>
        </x:is>
      </x:c>
      <x:c r="C11" s="13">
        <x:f>0</x:f>
        <x:v>0</x:v>
      </x:c>
      <x:c r="D11" s="13">
        <x:f>(Balance_Sheet!D15-Balance_Sheet!C15)</x:f>
        <x:v>10</x:v>
      </x:c>
      <x:c r="E11" s="13">
        <x:f>(Balance_Sheet!E15-Balance_Sheet!D15)</x:f>
        <x:v>12</x:v>
      </x:c>
      <x:c r="F11" s="13">
        <x:f>(Balance_Sheet!F15-Balance_Sheet!E15)</x:f>
        <x:v>13</x:v>
      </x:c>
      <x:c r="G11" s="13">
        <x:f>(Balance_Sheet!G15-Balance_Sheet!F15)</x:f>
        <x:v>15</x:v>
      </x:c>
      <x:c r="H11" s="13">
        <x:f>(Balance_Sheet!H15-Balance_Sheet!G15)</x:f>
        <x:v>40.700000000000045</x:v>
      </x:c>
      <x:c r="I11" s="13">
        <x:f>(Balance_Sheet!I15-Balance_Sheet!H15)</x:f>
        <x:v>20.05600000000004</x:v>
      </x:c>
      <x:c r="J11" s="13">
        <x:f>(Balance_Sheet!J15-Balance_Sheet!I15)</x:f>
        <x:v>18.952920000000006</x:v>
      </x:c>
      <x:c r="K11" s="13">
        <x:f>(Balance_Sheet!K15-Balance_Sheet!J15)</x:f>
        <x:v>17.382535200000007</x:v>
      </x:c>
      <x:c r="L11" s="13">
        <x:f>(Balance_Sheet!L15-Balance_Sheet!K15)</x:f>
        <x:v>15.354572759999996</x:v>
      </x:c>
    </x:row>
    <x:row r="12">
      <x:c r="A12" s="12" t="inlineStr">
        <x:is>
          <x:t xml:space="preserve">Net Cash from Operations</x:t>
        </x:is>
      </x:c>
      <x:c r="C12" s="13">
        <x:f>SUM(C6:C11)</x:f>
        <x:v>787.5</x:v>
      </x:c>
      <x:c r="D12" s="13">
        <x:f>SUM(D6:D11)</x:f>
        <x:v>805.575</x:v>
      </x:c>
      <x:c r="E12" s="13">
        <x:f>SUM(E6:E11)</x:f>
        <x:v>870.9750000000003</x:v>
      </x:c>
      <x:c r="F12" s="13">
        <x:f>SUM(F6:F11)</x:f>
        <x:v>942.0062499999999</x:v>
      </x:c>
      <x:c r="G12" s="13">
        <x:f>SUM(G6:G11)</x:f>
        <x:v>1012.1625000000004</x:v>
      </x:c>
      <x:c r="H12" s="13">
        <x:f>SUM(H6:H11)</x:f>
        <x:v>981.7832191780827</x:v>
      </x:c>
      <x:c r="I12" s="13">
        <x:f>SUM(I6:I11)</x:f>
        <x:v>1192.0527431506855</x:v>
      </x:c>
      <x:c r="J12" s="13">
        <x:f>SUM(J6:J11)</x:f>
        <x:v>1282.5141463356167</x:v>
      </x:c>
      <x:c r="K12" s="13">
        <x:f>SUM(K6:K11)</x:f>
        <x:v>1367.044123173288</x:v>
      </x:c>
      <x:c r="L12" s="13">
        <x:f>SUM(L6:L11)</x:f>
        <x:v>1443.505996353514</x:v>
      </x:c>
    </x:row>
    <x:row r="13">
      <x:c r="C13" s="13" t="n"/>
      <x:c r="D13" s="13" t="n"/>
      <x:c r="E13" s="13" t="n"/>
      <x:c r="F13" s="13" t="n"/>
      <x:c r="G13" s="13" t="n"/>
      <x:c r="H13" s="13" t="n"/>
      <x:c r="I13" s="13" t="n"/>
      <x:c r="J13" s="13" t="n"/>
      <x:c r="K13" s="13" t="n"/>
      <x:c r="L13" s="13" t="n"/>
    </x:row>
    <x:row r="14" ht="20" customHeight="1">
      <x:c r="A14" s="3" t="inlineStr">
        <x:is>
          <x:t xml:space="preserve">Cash Flow from Investing</x:t>
        </x:is>
      </x:c>
      <x:c r="C14" s="13" t="n"/>
      <x:c r="D14" s="13" t="n"/>
      <x:c r="E14" s="13" t="n"/>
      <x:c r="F14" s="13" t="n"/>
      <x:c r="G14" s="13" t="n"/>
      <x:c r="H14" s="13" t="n"/>
      <x:c r="I14" s="13" t="n"/>
      <x:c r="J14" s="13" t="n"/>
      <x:c r="K14" s="13" t="n"/>
      <x:c r="L14" s="13" t="n"/>
    </x:row>
    <x:row r="15">
      <x:c r="A15" s="14" t="inlineStr">
        <x:is>
          <x:t xml:space="preserve">Capex</x:t>
        </x:is>
      </x:c>
      <x:c r="C15" s="13">
        <x:f>-Income_Statement!C5*Assumptions!$B$18</x:f>
        <x:v>-189</x:v>
      </x:c>
      <x:c r="D15" s="13">
        <x:f>-Income_Statement!D5*Assumptions!$B$18</x:f>
        <x:v>-204.75</x:v>
      </x:c>
      <x:c r="E15" s="13">
        <x:f>-Income_Statement!E5*Assumptions!$B$18</x:f>
        <x:v>-221.4</x:v>
      </x:c>
      <x:c r="F15" s="13">
        <x:f>-Income_Statement!F5*Assumptions!$B$18</x:f>
        <x:v>-238.5</x:v>
      </x:c>
      <x:c r="G15" s="13">
        <x:f>-Income_Statement!G5*Assumptions!$B$18</x:f>
        <x:v>-258.75</x:v>
      </x:c>
      <x:c r="H15" s="13">
        <x:f>-Income_Statement!H5*Assumptions!$B$18</x:f>
        <x:v>-282.0375</x:v>
      </x:c>
      <x:c r="I15" s="13">
        <x:f>-Income_Statement!I5*Assumptions!$B$18</x:f>
        <x:v>-304.60050000000007</x:v>
      </x:c>
      <x:c r="J15" s="13">
        <x:f>-Income_Statement!J5*Assumptions!$B$18</x:f>
        <x:v>-325.9225350000001</x:v>
      </x:c>
      <x:c r="K15" s="13">
        <x:f>-Income_Statement!K5*Assumptions!$B$18</x:f>
        <x:v>-345.4778871000001</x:v>
      </x:c>
      <x:c r="L15" s="13">
        <x:f>-Income_Statement!L5*Assumptions!$B$18</x:f>
        <x:v>-362.7517814550001</x:v>
      </x:c>
    </x:row>
    <x:row r="16">
      <x:c r="A16" s="15" t="inlineStr">
        <x:is>
          <x:t xml:space="preserve">Net Cash from Investing</x:t>
        </x:is>
      </x:c>
      <x:c r="C16" s="13">
        <x:f>C15</x:f>
        <x:v>-189</x:v>
      </x:c>
      <x:c r="D16" s="13">
        <x:f>D15</x:f>
        <x:v>-204.75</x:v>
      </x:c>
      <x:c r="E16" s="13">
        <x:f>E15</x:f>
        <x:v>-221.4</x:v>
      </x:c>
      <x:c r="F16" s="13">
        <x:f>F15</x:f>
        <x:v>-238.5</x:v>
      </x:c>
      <x:c r="G16" s="13">
        <x:f>G15</x:f>
        <x:v>-258.75</x:v>
      </x:c>
      <x:c r="H16" s="13">
        <x:f>H15</x:f>
        <x:v>-282.0375</x:v>
      </x:c>
      <x:c r="I16" s="13">
        <x:f>I15</x:f>
        <x:v>-304.60050000000007</x:v>
      </x:c>
      <x:c r="J16" s="13">
        <x:f>J15</x:f>
        <x:v>-325.9225350000001</x:v>
      </x:c>
      <x:c r="K16" s="13">
        <x:f>K15</x:f>
        <x:v>-345.4778871000001</x:v>
      </x:c>
      <x:c r="L16" s="13">
        <x:f>L15</x:f>
        <x:v>-362.7517814550001</x:v>
      </x:c>
    </x:row>
    <x:row r="17">
      <x:c r="C17" s="13" t="n"/>
      <x:c r="D17" s="13" t="n"/>
      <x:c r="E17" s="13" t="n"/>
      <x:c r="F17" s="13" t="n"/>
      <x:c r="G17" s="13" t="n"/>
      <x:c r="H17" s="13" t="n"/>
      <x:c r="I17" s="13" t="n"/>
      <x:c r="J17" s="13" t="n"/>
      <x:c r="K17" s="13" t="n"/>
      <x:c r="L17" s="13" t="n"/>
    </x:row>
    <x:row r="18" ht="20" customHeight="1">
      <x:c r="A18" s="3" t="inlineStr">
        <x:is>
          <x:t xml:space="preserve">Cash Flow from Financing</x:t>
        </x:is>
      </x:c>
      <x:c r="C18" s="13" t="n"/>
      <x:c r="D18" s="13" t="n"/>
      <x:c r="E18" s="13" t="n"/>
      <x:c r="F18" s="13" t="n"/>
      <x:c r="G18" s="13" t="n"/>
      <x:c r="H18" s="13" t="n"/>
      <x:c r="I18" s="13" t="n"/>
      <x:c r="J18" s="13" t="n"/>
      <x:c r="K18" s="13" t="n"/>
      <x:c r="L18" s="13" t="n"/>
    </x:row>
    <x:row r="19">
      <x:c r="A19" s="14" t="inlineStr">
        <x:is>
          <x:t xml:space="preserve">Change in Revolver</x:t>
        </x:is>
      </x:c>
      <x:c r="C19" s="13">
        <x:f>0</x:f>
        <x:v>0</x:v>
      </x:c>
      <x:c r="D19" s="13">
        <x:f>(Balance_Sheet!D16-Balance_Sheet!C16)</x:f>
        <x:v>-20</x:v>
      </x:c>
      <x:c r="E19" s="13">
        <x:f>(Balance_Sheet!E16-Balance_Sheet!D16)</x:f>
        <x:v>-30</x:v>
      </x:c>
      <x:c r="F19" s="13">
        <x:f>(Balance_Sheet!F16-Balance_Sheet!E16)</x:f>
        <x:v>-30</x:v>
      </x:c>
      <x:c r="G19" s="13">
        <x:f>(Balance_Sheet!G16-Balance_Sheet!F16)</x:f>
        <x:v>-20</x:v>
      </x:c>
      <x:c r="H19" s="13">
        <x:f>(Balance_Sheet!H16-Balance_Sheet!G16)</x:f>
        <x:v>-100</x:v>
      </x:c>
      <x:c r="I19" s="13">
        <x:f>(Balance_Sheet!I16-Balance_Sheet!H16)</x:f>
        <x:v>0</x:v>
      </x:c>
      <x:c r="J19" s="13">
        <x:f>(Balance_Sheet!J16-Balance_Sheet!I16)</x:f>
        <x:v>0</x:v>
      </x:c>
      <x:c r="K19" s="13">
        <x:f>(Balance_Sheet!K16-Balance_Sheet!J16)</x:f>
        <x:v>0</x:v>
      </x:c>
      <x:c r="L19" s="13">
        <x:f>(Balance_Sheet!L16-Balance_Sheet!K16)</x:f>
        <x:v>0</x:v>
      </x:c>
    </x:row>
    <x:row r="20">
      <x:c r="A20" s="14" t="inlineStr">
        <x:is>
          <x:t xml:space="preserve">Dividends</x:t>
        </x:is>
      </x:c>
      <x:c r="C20" s="13">
        <x:f>0</x:f>
        <x:v>0</x:v>
      </x:c>
      <x:c r="D20" s="13">
        <x:f>-Income_Statement!D15*Assumptions!$B$26</x:f>
        <x:v>-69.90750000000001</x:v>
      </x:c>
      <x:c r="E20" s="13">
        <x:f>-Income_Statement!E15*Assumptions!$B$26</x:f>
        <x:v>-75.63750000000003</x:v>
      </x:c>
      <x:c r="F20" s="13">
        <x:f>-Income_Statement!F15*Assumptions!$B$26</x:f>
        <x:v>-81.500625</x:v>
      </x:c>
      <x:c r="G20" s="13">
        <x:f>-Income_Statement!G15*Assumptions!$B$26</x:f>
        <x:v>-88.46625000000004</x:v>
      </x:c>
      <x:c r="H20" s="13">
        <x:f>-Income_Statement!H15*Assumptions!$B$26</x:f>
        <x:v>-96.49500000000006</x:v>
      </x:c>
      <x:c r="I20" s="13">
        <x:f>-Income_Statement!I15*Assumptions!$B$26</x:f>
        <x:v>-104.66810856164389</x:v>
      </x:c>
      <x:c r="J20" s="13">
        <x:f>-Income_Statement!J15*Assumptions!$B$26</x:f>
        <x:v>-111.97545549657536</x:v>
      </x:c>
      <x:c r="K20" s="13">
        <x:f>-Income_Statement!K15*Assumptions!$B$26</x:f>
        <x:v>-118.67300850883565</x:v>
      </x:c>
      <x:c r="L20" s="13">
        <x:f>-Income_Statement!L15*Assumptions!$B$26</x:f>
        <x:v>-124.58421641451581</x:v>
      </x:c>
    </x:row>
    <x:row r="21">
      <x:c r="A21" s="12" t="inlineStr">
        <x:is>
          <x:t xml:space="preserve">Net Cash from Financing</x:t>
        </x:is>
      </x:c>
      <x:c r="C21" s="13">
        <x:f>SUM(C19:C20)</x:f>
        <x:v>0</x:v>
      </x:c>
      <x:c r="D21" s="13">
        <x:f>SUM(D19:D20)</x:f>
        <x:v>-89.90750000000001</x:v>
      </x:c>
      <x:c r="E21" s="13">
        <x:f>SUM(E19:E20)</x:f>
        <x:v>-105.63750000000003</x:v>
      </x:c>
      <x:c r="F21" s="13">
        <x:f>SUM(F19:F20)</x:f>
        <x:v>-111.500625</x:v>
      </x:c>
      <x:c r="G21" s="13">
        <x:f>SUM(G19:G20)</x:f>
        <x:v>-108.46625000000004</x:v>
      </x:c>
      <x:c r="H21" s="13">
        <x:f>SUM(H19:H20)</x:f>
        <x:v>-196.49500000000006</x:v>
      </x:c>
      <x:c r="I21" s="13">
        <x:f>SUM(I19:I20)</x:f>
        <x:v>-104.66810856164389</x:v>
      </x:c>
      <x:c r="J21" s="13">
        <x:f>SUM(J19:J20)</x:f>
        <x:v>-111.97545549657536</x:v>
      </x:c>
      <x:c r="K21" s="13">
        <x:f>SUM(K19:K20)</x:f>
        <x:v>-118.67300850883565</x:v>
      </x:c>
      <x:c r="L21" s="13">
        <x:f>SUM(L19:L20)</x:f>
        <x:v>-124.58421641451581</x:v>
      </x:c>
    </x:row>
    <x:row r="22">
      <x:c r="C22" s="13" t="n"/>
      <x:c r="D22" s="13" t="n"/>
      <x:c r="E22" s="13" t="n"/>
      <x:c r="F22" s="13" t="n"/>
      <x:c r="G22" s="13" t="n"/>
      <x:c r="H22" s="13" t="n"/>
      <x:c r="I22" s="13" t="n"/>
      <x:c r="J22" s="13" t="n"/>
      <x:c r="K22" s="13" t="n"/>
      <x:c r="L22" s="13" t="n"/>
    </x:row>
    <x:row r="23">
      <x:c r="A23" s="15" t="inlineStr">
        <x:is>
          <x:t xml:space="preserve">Net Change in Cash</x:t>
        </x:is>
      </x:c>
      <x:c r="C23" s="13">
        <x:f>SUM(C12,C16,C21)</x:f>
        <x:v>598.5</x:v>
      </x:c>
      <x:c r="D23" s="13">
        <x:f>SUM(D12,D16,D21)</x:f>
        <x:v>510.9175</x:v>
      </x:c>
      <x:c r="E23" s="13">
        <x:f>SUM(E12,E16,E21)</x:f>
        <x:v>543.9375000000002</x:v>
      </x:c>
      <x:c r="F23" s="13">
        <x:f>SUM(F12,F16,F21)</x:f>
        <x:v>592.0056249999999</x:v>
      </x:c>
      <x:c r="G23" s="13">
        <x:f>SUM(G12,G16,G21)</x:f>
        <x:v>644.9462500000003</x:v>
      </x:c>
      <x:c r="H23" s="13">
        <x:f>SUM(H12,H16,H21)</x:f>
        <x:v>503.25071917808265</x:v>
      </x:c>
      <x:c r="I23" s="13">
        <x:f>SUM(I12,I16,I21)</x:f>
        <x:v>782.7841345890415</x:v>
      </x:c>
      <x:c r="J23" s="13">
        <x:f>SUM(J12,J16,J21)</x:f>
        <x:v>844.6161558390413</x:v>
      </x:c>
      <x:c r="K23" s="13">
        <x:f>SUM(K12,K16,K21)</x:f>
        <x:v>902.8932275644522</x:v>
      </x:c>
      <x:c r="L23" s="13">
        <x:f>SUM(L12,L16,L21)</x:f>
        <x:v>956.1699984839981</x:v>
      </x:c>
    </x:row>
    <x:row r="24">
      <x:c r="A24" t="inlineStr">
        <x:is>
          <x:t xml:space="preserve">Beginning Cash</x:t>
        </x:is>
      </x:c>
      <x:c r="C24" s="13">
        <x:f>Balance_Sheet!C6</x:f>
        <x:v>120</x:v>
      </x:c>
      <x:c r="D24" s="13">
        <x:f>Balance_Sheet!C6</x:f>
        <x:v>120</x:v>
      </x:c>
      <x:c r="E24" s="13">
        <x:f>Balance_Sheet!D6</x:f>
        <x:v>150</x:v>
      </x:c>
      <x:c r="F24" s="13">
        <x:f>Balance_Sheet!E6</x:f>
        <x:v>180</x:v>
      </x:c>
      <x:c r="G24" s="13">
        <x:f>Balance_Sheet!F6</x:f>
        <x:v>210</x:v>
      </x:c>
      <x:c r="H24" s="13">
        <x:f>Balance_Sheet!G6</x:f>
        <x:v>240</x:v>
      </x:c>
      <x:c r="I24" s="13">
        <x:f>Balance_Sheet!H6</x:f>
        <x:v>965.3257191780832</x:v>
      </x:c>
      <x:c r="J24" s="13">
        <x:f>Balance_Sheet!I6</x:f>
        <x:v>2355.270853767124</x:v>
      </x:c>
      <x:c r="K24" s="13">
        <x:f>Balance_Sheet!J6</x:f>
        <x:v>3849.6512796061666</x:v>
      </x:c>
      <x:c r="L24" s="13">
        <x:f>Balance_Sheet!K6</x:f>
        <x:v>5441.377865370617</x:v>
      </x:c>
    </x:row>
    <x:row r="25">
      <x:c r="A25" t="inlineStr">
        <x:is>
          <x:t xml:space="preserve">Ending Cash</x:t>
        </x:is>
      </x:c>
      <x:c r="C25" s="13">
        <x:f>Balance_Sheet!C6</x:f>
        <x:v>120</x:v>
      </x:c>
      <x:c r="D25" s="13">
        <x:f>Balance_Sheet!D6</x:f>
        <x:v>150</x:v>
      </x:c>
      <x:c r="E25" s="13">
        <x:f>Balance_Sheet!E6</x:f>
        <x:v>180</x:v>
      </x:c>
      <x:c r="F25" s="13">
        <x:f>Balance_Sheet!F6</x:f>
        <x:v>210</x:v>
      </x:c>
      <x:c r="G25" s="13">
        <x:f>Balance_Sheet!G6</x:f>
        <x:v>240</x:v>
      </x:c>
      <x:c r="H25" s="13">
        <x:f>Balance_Sheet!H6</x:f>
        <x:v>965.3257191780832</x:v>
      </x:c>
      <x:c r="I25" s="13">
        <x:f>Balance_Sheet!I6</x:f>
        <x:v>2355.270853767124</x:v>
      </x:c>
      <x:c r="J25" s="13">
        <x:f>Balance_Sheet!J6</x:f>
        <x:v>3849.6512796061666</x:v>
      </x:c>
      <x:c r="K25" s="13">
        <x:f>Balance_Sheet!K6</x:f>
        <x:v>5441.377865370617</x:v>
      </x:c>
      <x:c r="L25" s="13">
        <x:f>Balance_Sheet!L6</x:f>
        <x:v>7120.886562444616</x:v>
      </x:c>
    </x:row>
    <x:row r="26">
      <x:c r="A26" s="15" t="inlineStr">
        <x:is>
          <x:t xml:space="preserve">Cash Flow Check (should be 0)</x:t>
        </x:is>
      </x:c>
      <x:c r="C26" s="13">
        <x:f>C23-(C25-C24)</x:f>
        <x:v>598.5</x:v>
      </x:c>
      <x:c r="D26" s="13">
        <x:f>D23-(D25-D24)</x:f>
        <x:v>480.9175</x:v>
      </x:c>
      <x:c r="E26" s="13">
        <x:f>E23-(E25-E24)</x:f>
        <x:v>513.9375000000002</x:v>
      </x:c>
      <x:c r="F26" s="13">
        <x:f>F23-(F25-F24)</x:f>
        <x:v>562.0056249999999</x:v>
      </x:c>
      <x:c r="G26" s="13">
        <x:f>G23-(G25-G24)</x:f>
        <x:v>614.9462500000003</x:v>
      </x:c>
      <x:c r="H26" s="13">
        <x:f>H23-(H25-H24)</x:f>
        <x:v>-222.07500000000056</x:v>
      </x:c>
      <x:c r="I26" s="13">
        <x:f>I23-(I25-I24)</x:f>
        <x:v>-607.1609999999996</x:v>
      </x:c>
      <x:c r="J26" s="13">
        <x:f>J23-(J25-J24)</x:f>
        <x:v>-649.764270000001</x:v>
      </x:c>
      <x:c r="K26" s="13">
        <x:f>K23-(K25-K24)</x:f>
        <x:v>-688.833358199998</x:v>
      </x:c>
      <x:c r="L26" s="13">
        <x:f>L23-(L25-L24)</x:f>
        <x:v>-723.3386985900013</x:v>
      </x:c>
    </x:row>
  </x:sheetData>
  <x:mergeCells>
    <x:mergeCell ref="A14:L14"/>
    <x:mergeCell ref="A5:L5"/>
    <x:mergeCell ref="A18:L18"/>
    <x:mergeCell ref="A1:N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customWidth="1"/>
    <x:col min="2" max="2" width="18" customWidth="1"/>
    <x:col min="3" max="3" width="18" customWidth="1"/>
    <x:col min="4" max="4" width="18" customWidth="1"/>
  </x:cols>
  <x:sheetData>
    <x:row r="1" ht="26" customHeight="1">
      <x:c r="A1" s="1" t="inlineStr">
        <x:is>
          <x:t xml:space="preserve">Model Checks</x:t>
        </x:is>
      </x:c>
    </x:row>
    <x:row r="3">
      <x:c r="A3" s="15" t="inlineStr">
        <x:is>
          <x:t xml:space="preserve">Balance Sheet Balancing Check</x:t>
        </x:is>
      </x:c>
    </x:row>
    <x:row r="4" ht="18" customHeight="1">
      <x:c r="A4" s="4" t="inlineStr">
        <x:is>
          <x:t xml:space="preserve">FY</x:t>
        </x:is>
      </x:c>
      <x:c r="B4" s="4" t="inlineStr">
        <x:is>
          <x:t xml:space="preserve">Total Assets</x:t>
        </x:is>
      </x:c>
      <x:c r="C4" s="4" t="inlineStr">
        <x:is>
          <x:t xml:space="preserve">Total L + E</x:t>
        </x:is>
      </x:c>
      <x:c r="D4" s="4" t="inlineStr">
        <x:is>
          <x:t xml:space="preserve">Difference</x:t>
        </x:is>
      </x:c>
    </x:row>
    <x:row r="5">
      <x:c r="A5" s="5" t="n">
        <x:v>2021</x:v>
      </x:c>
      <x:c r="B5" s="16">
        <x:f>Balance_Sheet!C11</x:f>
        <x:v>2250</x:v>
      </x:c>
      <x:c r="C5" s="16">
        <x:f>Balance_Sheet!C24</x:f>
        <x:v>1870</x:v>
      </x:c>
      <x:c r="D5" s="16">
        <x:f>B5-C5</x:f>
        <x:v>380</x:v>
      </x:c>
    </x:row>
    <x:row r="6">
      <x:c r="A6" s="5" t="n">
        <x:v>2022</x:v>
      </x:c>
      <x:c r="B6" s="16">
        <x:f>Balance_Sheet!D11</x:f>
        <x:v>2410</x:v>
      </x:c>
      <x:c r="C6" s="16">
        <x:f>Balance_Sheet!D24</x:f>
        <x:v>2010</x:v>
      </x:c>
      <x:c r="D6" s="16">
        <x:f>B6-C6</x:f>
        <x:v>400</x:v>
      </x:c>
    </x:row>
    <x:row r="7">
      <x:c r="A7" s="5" t="n">
        <x:v>2023</x:v>
      </x:c>
      <x:c r="B7" s="16">
        <x:f>Balance_Sheet!E11</x:f>
        <x:v>2600</x:v>
      </x:c>
      <x:c r="C7" s="16">
        <x:f>Balance_Sheet!E24</x:f>
        <x:v>2200</x:v>
      </x:c>
      <x:c r="D7" s="16">
        <x:f>B7-C7</x:f>
        <x:v>400</x:v>
      </x:c>
    </x:row>
    <x:row r="8">
      <x:c r="A8" s="5" t="n">
        <x:v>2024</x:v>
      </x:c>
      <x:c r="B8" s="16">
        <x:f>Balance_Sheet!F11</x:f>
        <x:v>2800</x:v>
      </x:c>
      <x:c r="C8" s="16">
        <x:f>Balance_Sheet!F24</x:f>
        <x:v>2450</x:v>
      </x:c>
      <x:c r="D8" s="16">
        <x:f>B8-C8</x:f>
        <x:v>350</x:v>
      </x:c>
    </x:row>
    <x:row r="9">
      <x:c r="A9" s="5" t="n">
        <x:v>2025</x:v>
      </x:c>
      <x:c r="B9" s="16">
        <x:f>Balance_Sheet!G11</x:f>
        <x:v>3040</x:v>
      </x:c>
      <x:c r="C9" s="16">
        <x:f>Balance_Sheet!G24</x:f>
        <x:v>2700</x:v>
      </x:c>
      <x:c r="D9" s="16">
        <x:f>B9-C9</x:f>
        <x:v>340</x:v>
      </x:c>
    </x:row>
    <x:row r="10">
      <x:c r="A10" s="5" t="n">
        <x:v>2026</x:v>
      </x:c>
      <x:c r="B10" s="16">
        <x:f>Balance_Sheet!H11</x:f>
        <x:v>3455.727602739727</x:v>
      </x:c>
      <x:c r="C10" s="16">
        <x:f>Balance_Sheet!H24</x:f>
        <x:v>3455.727602739727</x:v>
      </x:c>
      <x:c r="D10" s="16">
        <x:f>B10-C10</x:f>
        <x:v>0</x:v>
      </x:c>
    </x:row>
    <x:row r="11">
      <x:c r="A11" s="5" t="n">
        <x:v>2027</x:v>
      </x:c>
      <x:c r="B11" s="16">
        <x:f>Balance_Sheet!I11</x:f>
        <x:v>4452.9303880136995</x:v>
      </x:c>
      <x:c r="C11" s="16">
        <x:f>Balance_Sheet!I24</x:f>
        <x:v>4452.9303880136995</x:v>
      </x:c>
      <x:c r="D11" s="16">
        <x:f>B11-C11</x:f>
        <x:v>0</x:v>
      </x:c>
    </x:row>
    <x:row r="12">
      <x:c r="A12" s="5" t="n">
        <x:v>2028</x:v>
      </x:c>
      <x:c r="B12" s="16">
        <x:f>Balance_Sheet!J11</x:f>
        <x:v>5513.108656250002</x:v>
      </x:c>
      <x:c r="C12" s="16">
        <x:f>Balance_Sheet!J24</x:f>
        <x:v>5513.108656250002</x:v>
      </x:c>
      <x:c r="D12" s="16">
        <x:f>B12-C12</x:f>
        <x:v>0</x:v>
      </x:c>
    </x:row>
    <x:row r="13">
      <x:c r="A13" s="5" t="n">
        <x:v>2029</x:v>
      </x:c>
      <x:c r="B13" s="16">
        <x:f>Balance_Sheet!K11</x:f>
        <x:v>6629.565696413083</x:v>
      </x:c>
      <x:c r="C13" s="16">
        <x:f>Balance_Sheet!K24</x:f>
        <x:v>6629.565696413083</x:v>
      </x:c>
      <x:c r="D13" s="16">
        <x:f>B13-C13</x:f>
        <x:v>0</x:v>
      </x:c>
    </x:row>
    <x:row r="14">
      <x:c r="A14" s="5" t="n">
        <x:v>2030</x:v>
      </x:c>
      <x:c r="B14" s="16">
        <x:f>Balance_Sheet!L11</x:f>
        <x:v>7794.041046941205</x:v>
      </x:c>
      <x:c r="C14" s="16">
        <x:f>Balance_Sheet!L24</x:f>
        <x:v>7794.0410469412045</x:v>
      </x:c>
      <x:c r="D14" s="16">
        <x:f>B14-C14</x:f>
        <x:v>9.094947017729282e-13</x:v>
      </x:c>
    </x:row>
    <x:row r="16">
      <x:c r="A16" s="15" t="inlineStr">
        <x:is>
          <x:t xml:space="preserve">Cash Flow Check (Should be 0 each year)</x:t>
        </x:is>
      </x:c>
    </x:row>
    <x:row r="17" ht="18" customHeight="1">
      <x:c r="A17" s="4" t="inlineStr">
        <x:is>
          <x:t xml:space="preserve">FY</x:t>
        </x:is>
      </x:c>
      <x:c r="B17" s="4" t="inlineStr">
        <x:is>
          <x:t xml:space="preserve">CFS Check</x:t>
        </x:is>
      </x:c>
    </x:row>
    <x:row r="18">
      <x:c r="A18" s="5" t="n">
        <x:v>2021</x:v>
      </x:c>
      <x:c r="B18" s="16">
        <x:f>Cash_Flow!C26</x:f>
        <x:v>598.5</x:v>
      </x:c>
    </x:row>
    <x:row r="19">
      <x:c r="A19" s="5" t="n">
        <x:v>2022</x:v>
      </x:c>
      <x:c r="B19" s="16">
        <x:f>Cash_Flow!D26</x:f>
        <x:v>480.9175</x:v>
      </x:c>
    </x:row>
    <x:row r="20">
      <x:c r="A20" s="5" t="n">
        <x:v>2023</x:v>
      </x:c>
      <x:c r="B20" s="16">
        <x:f>Cash_Flow!E26</x:f>
        <x:v>513.9375000000002</x:v>
      </x:c>
    </x:row>
    <x:row r="21">
      <x:c r="A21" s="5" t="n">
        <x:v>2024</x:v>
      </x:c>
      <x:c r="B21" s="16">
        <x:f>Cash_Flow!F26</x:f>
        <x:v>562.0056249999999</x:v>
      </x:c>
    </x:row>
    <x:row r="22">
      <x:c r="A22" s="5" t="n">
        <x:v>2025</x:v>
      </x:c>
      <x:c r="B22" s="16">
        <x:f>Cash_Flow!G26</x:f>
        <x:v>614.9462500000003</x:v>
      </x:c>
    </x:row>
    <x:row r="23">
      <x:c r="A23" s="5" t="n">
        <x:v>2026</x:v>
      </x:c>
      <x:c r="B23" s="16">
        <x:f>Cash_Flow!H26</x:f>
        <x:v>-222.07500000000056</x:v>
      </x:c>
    </x:row>
    <x:row r="24">
      <x:c r="A24" s="5" t="n">
        <x:v>2027</x:v>
      </x:c>
      <x:c r="B24" s="16">
        <x:f>Cash_Flow!I26</x:f>
        <x:v>-607.1609999999996</x:v>
      </x:c>
    </x:row>
    <x:row r="25">
      <x:c r="A25" s="5" t="n">
        <x:v>2028</x:v>
      </x:c>
      <x:c r="B25" s="16">
        <x:f>Cash_Flow!J26</x:f>
        <x:v>-649.764270000001</x:v>
      </x:c>
    </x:row>
    <x:row r="26">
      <x:c r="A26" s="5" t="n">
        <x:v>2029</x:v>
      </x:c>
      <x:c r="B26" s="16">
        <x:f>Cash_Flow!K26</x:f>
        <x:v>-688.833358199998</x:v>
      </x:c>
    </x:row>
    <x:row r="27">
      <x:c r="A27" s="5" t="n">
        <x:v>2030</x:v>
      </x:c>
      <x:c r="B27" s="16">
        <x:f>Cash_Flow!L26</x:f>
        <x:v>-723.3386985900013</x:v>
      </x:c>
    </x:row>
  </x:sheetData>
  <x:mergeCells>
    <x:mergeCell ref="A1:J1"/>
  </x:mergeCells>
  <x:pageMargins left="0.7" right="0.7" top="0.75" bottom="0.75" header="0.3" footer="0.3"/>
</x:worksheet>
</file>