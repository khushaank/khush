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948b49d00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4eea790759944c5d"/>
    <x:sheet xmlns:r="http://schemas.openxmlformats.org/officeDocument/2006/relationships" name="Income_Statement" sheetId="2" r:id="R815f67d5bbdc4145"/>
    <x:sheet xmlns:r="http://schemas.openxmlformats.org/officeDocument/2006/relationships" name="Cash_Flow" sheetId="3" r:id="R194b2d799b4f4464"/>
    <x:sheet xmlns:r="http://schemas.openxmlformats.org/officeDocument/2006/relationships" name="WACC" sheetId="4" r:id="R148177ef30464e40"/>
    <x:sheet xmlns:r="http://schemas.openxmlformats.org/officeDocument/2006/relationships" name="DCF_Valuation" sheetId="5" r:id="Rcfb52810269e4a01"/>
    <x:sheet xmlns:r="http://schemas.openxmlformats.org/officeDocument/2006/relationships" name="Sensitivity" sheetId="6" r:id="R8f8cc7b265f3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$#,##0.0,,&quot;M&quot;;[Red]($#,##0.0,,&quot;M&quot;);&quot;-&quot;;@"/>
    <x:numFmt numFmtId="165" formatCode="0.0%;[Red](0.0%);&quot;-&quot;;@"/>
    <x:numFmt numFmtId="166" formatCode="#,##0.0;[Red](#,##0.0);&quot;-&quot;;@"/>
    <x:numFmt numFmtId="167" formatCode="0.0&quot;x&quot;"/>
    <x:numFmt numFmtId="168" formatCode="$0.00;[Red]($0.00);&quot;-&quot;;@"/>
  </x:numFmts>
  <x:fonts count="10">
    <x:font>
      <x:sz val="11"/>
      <x:color theme="1"/>
      <x:name val="Calibri"/>
      <x:family val="2"/>
      <x:scheme val="minor"/>
    </x:font>
    <x:font>
      <x:b/>
      <x:sz val="14"/>
      <x:color rgb="00FFFFFF"/>
      <x:name val="Calibri"/>
    </x:font>
    <x:font>
      <x:b/>
      <x:sz val="11"/>
      <x:color rgb="00000000"/>
      <x:name val="Calibri"/>
    </x:font>
    <x:font>
      <x:b/>
      <x:sz val="11"/>
      <x:color rgb="00FFFFFF"/>
      <x:name val="Calibri"/>
    </x:font>
    <x:font>
      <x:sz val="11"/>
      <x:color rgb="000000FF"/>
      <x:name val="Calibri"/>
    </x:font>
    <x:font>
      <x:i/>
      <x:sz val="10"/>
      <x:name val="Calibri"/>
    </x:font>
    <x:font>
      <x:sz val="11"/>
      <x:color rgb="00000000"/>
      <x:name val="Calibri"/>
    </x:font>
    <x:font>
      <x:sz val="11"/>
      <x:color rgb="00008000"/>
      <x:name val="Calibri"/>
    </x:font>
    <x:font>
      <x:b/>
      <x:sz val="11"/>
      <x:name val="Calibri"/>
    </x:font>
    <x:font>
      <x:b/>
      <x:sz val="12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0B2F4E"/>
      </x:patternFill>
    </x:fill>
    <x:fill>
      <x:patternFill patternType="solid">
        <x:fgColor rgb="00FFF2CC"/>
      </x:patternFill>
    </x:fill>
    <x:fill>
      <x:patternFill patternType="solid">
        <x:fgColor rgb="00D9E1F2"/>
      </x:patternFill>
    </x:fill>
    <x:fill>
      <x:patternFill patternType="solid">
        <x:fgColor rgb="00E2EFDA"/>
      </x:patternFill>
    </x:fill>
  </x:fills>
  <x:borders count="2">
    <x:border>
      <x:left/>
      <x:right/>
      <x:top/>
      <x:bottom/>
      <x:diagonal/>
    </x:border>
    <x:border>
      <x:left style="thin">
        <x:color rgb="00A0A0A0"/>
      </x:left>
      <x:right style="thin">
        <x:color rgb="00A0A0A0"/>
      </x:right>
      <x:top style="thin">
        <x:color rgb="00A0A0A0"/>
      </x:top>
      <x:bottom style="thin">
        <x:color rgb="00A0A0A0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/>
    <x:xf numFmtId="0" fontId="0" fillId="0" borderId="0" xfId="0" applyAlignment="1">
      <x:alignment horizontal="left" vertical="top" wrapText="1"/>
    </x:xf>
    <x:xf numFmtId="0" fontId="3" fillId="3" borderId="0" xfId="0" applyAlignment="1">
      <x:alignment horizontal="left" vertical="center"/>
    </x:xf>
    <x:xf numFmtId="164" fontId="4" fillId="4" borderId="0" xfId="0"/>
    <x:xf numFmtId="165" fontId="4" fillId="4" borderId="0" xfId="0"/>
    <x:xf numFmtId="0" fontId="2" fillId="5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165" fontId="4" fillId="4" borderId="1" xfId="0" applyAlignment="1">
      <x:alignment horizontal="center" vertical="center"/>
    </x:xf>
    <x:xf numFmtId="166" fontId="4" fillId="4" borderId="0" xfId="0"/>
    <x:xf numFmtId="0" fontId="4" fillId="4" borderId="0" xfId="0"/>
    <x:xf numFmtId="167" fontId="4" fillId="4" borderId="0" xfId="0"/>
    <x:xf numFmtId="0" fontId="5" fillId="0" borderId="0" xfId="0"/>
    <x:xf numFmtId="0" fontId="2" fillId="0" borderId="0" xfId="0" applyAlignment="1">
      <x:alignment horizontal="left" vertical="center"/>
    </x:xf>
    <x:xf numFmtId="164" fontId="6" fillId="0" borderId="0" xfId="0" applyAlignment="1">
      <x:alignment horizontal="right" vertical="center"/>
    </x:xf>
    <x:xf numFmtId="0" fontId="6" fillId="0" borderId="0" xfId="0" applyAlignment="1">
      <x:alignment horizontal="left" vertical="center"/>
    </x:xf>
    <x:xf numFmtId="164" fontId="0" fillId="0" borderId="0" xfId="0" applyAlignment="1">
      <x:alignment horizontal="right" vertical="center"/>
    </x:xf>
    <x:xf numFmtId="0" fontId="0" fillId="0" borderId="1" xfId="0"/>
    <x:xf numFmtId="165" fontId="4" fillId="4" borderId="1" xfId="0"/>
    <x:xf numFmtId="2" fontId="4" fillId="4" borderId="1" xfId="0"/>
    <x:xf numFmtId="165" fontId="6" fillId="0" borderId="0" xfId="0"/>
    <x:xf numFmtId="165" fontId="7" fillId="0" borderId="1" xfId="0"/>
    <x:xf numFmtId="165" fontId="0" fillId="0" borderId="1" xfId="0"/>
    <x:xf numFmtId="0" fontId="2" fillId="0" borderId="1" xfId="0"/>
    <x:xf numFmtId="165" fontId="8" fillId="6" borderId="1" xfId="0"/>
    <x:xf numFmtId="164" fontId="0" fillId="0" borderId="1" xfId="0" applyAlignment="1">
      <x:alignment horizontal="right" vertical="center"/>
    </x:xf>
    <x:xf numFmtId="165" fontId="0" fillId="0" borderId="1" xfId="0" applyAlignment="1">
      <x:alignment horizontal="right" vertical="center"/>
    </x:xf>
    <x:xf numFmtId="164" fontId="2" fillId="0" borderId="0" xfId="0"/>
    <x:xf numFmtId="0" fontId="0" fillId="0" borderId="1" xfId="0" applyAlignment="1">
      <x:alignment horizontal="left" vertical="center"/>
    </x:xf>
    <x:xf numFmtId="0" fontId="7" fillId="0" borderId="1" xfId="0" applyAlignment="1">
      <x:alignment horizontal="right" vertical="center"/>
    </x:xf>
    <x:xf numFmtId="165" fontId="7" fillId="0" borderId="1" xfId="0" applyAlignment="1">
      <x:alignment horizontal="right" vertical="center"/>
    </x:xf>
    <x:xf numFmtId="167" fontId="7" fillId="0" borderId="1" xfId="0" applyAlignment="1">
      <x:alignment horizontal="right" vertical="center"/>
    </x:xf>
    <x:xf numFmtId="0" fontId="2" fillId="0" borderId="1" xfId="0" applyAlignment="1">
      <x:alignment horizontal="left" vertical="center"/>
    </x:xf>
    <x:xf numFmtId="164" fontId="2" fillId="0" borderId="1" xfId="0" applyAlignment="1">
      <x:alignment horizontal="right" vertical="center"/>
    </x:xf>
    <x:xf numFmtId="0" fontId="3" fillId="3" borderId="1" xfId="0" applyAlignment="1">
      <x:alignment horizontal="left" vertical="center"/>
    </x:xf>
    <x:xf numFmtId="0" fontId="0" fillId="0" borderId="1" xfId="0" applyAlignment="1">
      <x:alignment horizontal="right" vertical="center"/>
    </x:xf>
    <x:xf numFmtId="166" fontId="0" fillId="0" borderId="1" xfId="0" applyAlignment="1">
      <x:alignment horizontal="right" vertical="center"/>
    </x:xf>
    <x:xf numFmtId="168" fontId="9" fillId="6" borderId="1" xfId="0" applyAlignment="1">
      <x:alignment horizontal="right" vertical="center"/>
    </x:xf>
    <x:xf numFmtId="0" fontId="0" fillId="0" borderId="0" xfId="0" applyAlignment="1">
      <x:alignment horizontal="left" vertical="center"/>
    </x:xf>
    <x:xf numFmtId="165" fontId="2" fillId="5" borderId="1" xfId="0" applyAlignment="1">
      <x:alignment horizontal="center" vertical="center"/>
    </x:xf>
    <x:xf numFmtId="168" fontId="0" fillId="0" borderId="1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4dc9a6ba044a1" /><Relationship Type="http://schemas.openxmlformats.org/officeDocument/2006/relationships/theme" Target="/xl/theme/theme1.xml" Id="R66a037e5b6854d0c" /><Relationship Type="http://schemas.openxmlformats.org/officeDocument/2006/relationships/sharedStrings" Target="/xl/sharedStrings.xml" Id="R86445c1e13d44fd9" /><Relationship Type="http://schemas.openxmlformats.org/officeDocument/2006/relationships/worksheet" Target="/xl/worksheets/sheet1.xml" Id="R4eea790759944c5d" /><Relationship Type="http://schemas.openxmlformats.org/officeDocument/2006/relationships/worksheet" Target="/xl/worksheets/sheet2.xml" Id="R815f67d5bbdc4145" /><Relationship Type="http://schemas.openxmlformats.org/officeDocument/2006/relationships/worksheet" Target="/xl/worksheets/sheet3.xml" Id="R194b2d799b4f4464" /><Relationship Type="http://schemas.openxmlformats.org/officeDocument/2006/relationships/worksheet" Target="/xl/worksheets/sheet4.xml" Id="R148177ef30464e40" /><Relationship Type="http://schemas.openxmlformats.org/officeDocument/2006/relationships/worksheet" Target="/xl/worksheets/sheet5.xml" Id="Rcfb52810269e4a01" /><Relationship Type="http://schemas.openxmlformats.org/officeDocument/2006/relationships/worksheet" Target="/xl/worksheets/sheet6.xml" Id="R8f8cc7b265f34c3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customWidth="1"/>
    <x:col min="2" max="2" width="22" customWidth="1"/>
    <x:col min="3" max="3" width="3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</x:cols>
  <x:sheetData>
    <x:row r="1" ht="26" customHeight="1">
      <x:c r="A1" s="1" t="inlineStr">
        <x:is>
          <x:t xml:space="preserve">Dynamic DCF Valuation Model</x:t>
        </x:is>
      </x:c>
    </x:row>
    <x:row r="3">
      <x:c r="A3" s="2" t="inlineStr">
        <x:is>
          <x:t xml:space="preserve">Model Notes</x:t>
        </x:is>
      </x:c>
    </x:row>
    <x:row r="4">
      <x:c r="A4" s="3" t="inlineStr">
        <x:is>
          <x:t xml:space="preserve">Blue text = inputs. Black text = formulas. Values are illustrative dummy data.</x:t>
        </x:is>
      </x:c>
    </x:row>
    <x:row r="6" ht="20" customHeight="1">
      <x:c r="A6" s="4" t="inlineStr">
        <x:is>
          <x:t xml:space="preserve">Core Operating Assumptions</x:t>
        </x:is>
      </x:c>
    </x:row>
    <x:row r="7">
      <x:c r="A7" t="inlineStr">
        <x:is>
          <x:t xml:space="preserve">Base Year (FY2025) Revenue ($mm)</x:t>
        </x:is>
      </x:c>
      <x:c r="B7" s="5" t="n">
        <x:v>5200</x:v>
      </x:c>
    </x:row>
    <x:row r="8">
      <x:c r="A8" t="inlineStr">
        <x:is>
          <x:t xml:space="preserve">EBITDA Margin</x:t>
        </x:is>
      </x:c>
      <x:c r="B8" s="6" t="n">
        <x:v>0.235</x:v>
      </x:c>
    </x:row>
    <x:row r="9">
      <x:c r="A9" t="inlineStr">
        <x:is>
          <x:t xml:space="preserve">D&amp;A (% of Revenue)</x:t>
        </x:is>
      </x:c>
      <x:c r="B9" s="6" t="n">
        <x:v>0.032</x:v>
      </x:c>
    </x:row>
    <x:row r="10">
      <x:c r="A10" t="inlineStr">
        <x:is>
          <x:t xml:space="preserve">Capex (% of Revenue)</x:t>
        </x:is>
      </x:c>
      <x:c r="B10" s="6" t="n">
        <x:v>0.045</x:v>
      </x:c>
    </x:row>
    <x:row r="11">
      <x:c r="A11" t="inlineStr">
        <x:is>
          <x:t xml:space="preserve">Net Working Capital (% of Revenue)</x:t>
        </x:is>
      </x:c>
      <x:c r="B11" s="6" t="n">
        <x:v>0.08500000000000001</x:v>
      </x:c>
    </x:row>
    <x:row r="12">
      <x:c r="A12" t="inlineStr">
        <x:is>
          <x:t xml:space="preserve">Cash Tax Rate</x:t>
        </x:is>
      </x:c>
      <x:c r="B12" s="6" t="n">
        <x:v>0.25</x:v>
      </x:c>
    </x:row>
    <x:row r="14" ht="20" customHeight="1">
      <x:c r="A14" s="4" t="inlineStr">
        <x:is>
          <x:t xml:space="preserve">Revenue Growth Assumptions</x:t>
        </x:is>
      </x:c>
    </x:row>
    <x:row r="15" ht="18" customHeight="1">
      <x:c r="A15" s="7" t="inlineStr">
        <x:is>
          <x:t xml:space="preserve">FY</x:t>
        </x:is>
      </x:c>
      <x:c r="B15" s="7" t="inlineStr">
        <x:is>
          <x:t xml:space="preserve">Growth</x:t>
        </x:is>
      </x:c>
    </x:row>
    <x:row r="16">
      <x:c r="A16" s="8" t="n">
        <x:v>2026</x:v>
      </x:c>
      <x:c r="B16" s="9" t="n">
        <x:v>0.1</x:v>
      </x:c>
    </x:row>
    <x:row r="17">
      <x:c r="A17" s="8" t="n">
        <x:v>2027</x:v>
      </x:c>
      <x:c r="B17" s="9" t="n">
        <x:v>0.08500000000000001</x:v>
      </x:c>
    </x:row>
    <x:row r="18">
      <x:c r="A18" s="8" t="n">
        <x:v>2028</x:v>
      </x:c>
      <x:c r="B18" s="9" t="n">
        <x:v>0.075</x:v>
      </x:c>
    </x:row>
    <x:row r="19">
      <x:c r="A19" s="8" t="n">
        <x:v>2029</x:v>
      </x:c>
      <x:c r="B19" s="9" t="n">
        <x:v>0.065</x:v>
      </x:c>
    </x:row>
    <x:row r="20">
      <x:c r="A20" s="8" t="n">
        <x:v>2030</x:v>
      </x:c>
      <x:c r="B20" s="9" t="n">
        <x:v>0.055</x:v>
      </x:c>
    </x:row>
    <x:row r="22" ht="20" customHeight="1">
      <x:c r="A22" s="4" t="inlineStr">
        <x:is>
          <x:t xml:space="preserve">Valuation &amp; Capital Structure</x:t>
        </x:is>
      </x:c>
    </x:row>
    <x:row r="23">
      <x:c r="A23" t="inlineStr">
        <x:is>
          <x:t xml:space="preserve">Net Debt ($mm) (Debt - Cash)</x:t>
        </x:is>
      </x:c>
      <x:c r="B23" s="5" t="n">
        <x:v>1800</x:v>
      </x:c>
    </x:row>
    <x:row r="24">
      <x:c r="A24" t="inlineStr">
        <x:is>
          <x:t xml:space="preserve">Shares Outstanding (mm)</x:t>
        </x:is>
      </x:c>
      <x:c r="B24" s="10" t="n">
        <x:v>420</x:v>
      </x:c>
    </x:row>
    <x:row r="25">
      <x:c r="A25" t="inlineStr">
        <x:is>
          <x:t xml:space="preserve">Terminal Growth Rate</x:t>
        </x:is>
      </x:c>
      <x:c r="B25" s="6" t="n">
        <x:v>0.03</x:v>
      </x:c>
    </x:row>
    <x:row r="26">
      <x:c r="A26" t="inlineStr">
        <x:is>
          <x:t xml:space="preserve">Terminal Method ("Gordon" or "ExitMultiple")</x:t>
        </x:is>
      </x:c>
      <x:c r="B26" s="11" t="inlineStr">
        <x:is>
          <x:t xml:space="preserve">Gordon</x:t>
        </x:is>
      </x:c>
    </x:row>
    <x:row r="27">
      <x:c r="A27" t="inlineStr">
        <x:is>
          <x:t xml:space="preserve">Exit EBITDA Multiple (x) (if ExitMultiple)</x:t>
        </x:is>
      </x:c>
      <x:c r="B27" s="12" t="n">
        <x:v>10.5</x:v>
      </x:c>
    </x:row>
  </x:sheetData>
  <x:mergeCells>
    <x:mergeCell ref="A6:J6"/>
    <x:mergeCell ref="A22:J22"/>
    <x:mergeCell ref="A1:J1"/>
    <x:mergeCell ref="A14:J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</x:cols>
  <x:sheetData>
    <x:row r="1" ht="26" customHeight="1">
      <x:c r="A1" s="1" t="inlineStr">
        <x:is>
          <x:t xml:space="preserve">Income Statement (Forecast)</x:t>
        </x:is>
      </x:c>
    </x:row>
    <x:row r="3">
      <x:c r="A3" s="13" t="inlineStr">
        <x:is>
          <x:t xml:space="preserve">($mm)</x:t>
        </x:is>
      </x:c>
    </x:row>
    <x:row r="4" ht="18" customHeight="1">
      <x:c r="A4" s="7" t="inlineStr">
        <x:is>
          <x:t xml:space="preserve">FY</x:t>
        </x:is>
      </x:c>
      <x:c r="B4" s="7" t="n"/>
      <x:c r="C4" s="7" t="n">
        <x:v>2026</x:v>
      </x:c>
      <x:c r="D4" s="7" t="n">
        <x:v>2027</x:v>
      </x:c>
      <x:c r="E4" s="7" t="n">
        <x:v>2028</x:v>
      </x:c>
      <x:c r="F4" s="7" t="n">
        <x:v>2029</x:v>
      </x:c>
      <x:c r="G4" s="7" t="n">
        <x:v>2030</x:v>
      </x:c>
    </x:row>
    <x:row r="5">
      <x:c r="A5" s="14" t="inlineStr">
        <x:is>
          <x:t xml:space="preserve">Revenue</x:t>
        </x:is>
      </x:c>
      <x:c r="C5" s="15">
        <x:f>Assumptions!$B$7*(1+Assumptions!$B$16)</x:f>
        <x:v>5720.000000000001</x:v>
      </x:c>
      <x:c r="D5" s="15">
        <x:f>C5*(1+Assumptions!$B$17)</x:f>
        <x:v>6206.200000000001</x:v>
      </x:c>
      <x:c r="E5" s="15">
        <x:f>D5*(1+Assumptions!$B$18)</x:f>
        <x:v>6671.665000000001</x:v>
      </x:c>
      <x:c r="F5" s="15">
        <x:f>E5*(1+Assumptions!$B$19)</x:f>
        <x:v>7105.323225000001</x:v>
      </x:c>
      <x:c r="G5" s="15">
        <x:f>F5*(1+Assumptions!$B$20)</x:f>
        <x:v>7496.116002375001</x:v>
      </x:c>
    </x:row>
    <x:row r="6">
      <x:c r="A6" s="14" t="inlineStr">
        <x:is>
          <x:t xml:space="preserve">EBITDA</x:t>
        </x:is>
      </x:c>
      <x:c r="C6" s="15">
        <x:f>C5*Assumptions!$B$8</x:f>
        <x:v>1344.2</x:v>
      </x:c>
      <x:c r="D6" s="15">
        <x:f>D5*Assumptions!$B$8</x:f>
        <x:v>1458.457</x:v>
      </x:c>
      <x:c r="E6" s="15">
        <x:f>E5*Assumptions!$B$8</x:f>
        <x:v>1567.8412750000002</x:v>
      </x:c>
      <x:c r="F6" s="15">
        <x:f>F5*Assumptions!$B$8</x:f>
        <x:v>1669.750957875</x:v>
      </x:c>
      <x:c r="G6" s="15">
        <x:f>G5*Assumptions!$B$8</x:f>
        <x:v>1761.587260558125</x:v>
      </x:c>
    </x:row>
    <x:row r="7">
      <x:c r="A7" s="16" t="inlineStr">
        <x:is>
          <x:t xml:space="preserve">Less: D&amp;A</x:t>
        </x:is>
      </x:c>
      <x:c r="C7" s="15">
        <x:f>-C5*Assumptions!$B$9</x:f>
        <x:v>-183.04000000000002</x:v>
      </x:c>
      <x:c r="D7" s="15">
        <x:f>-D5*Assumptions!$B$9</x:f>
        <x:v>-198.59840000000003</x:v>
      </x:c>
      <x:c r="E7" s="15">
        <x:f>-E5*Assumptions!$B$9</x:f>
        <x:v>-213.49328000000003</x:v>
      </x:c>
      <x:c r="F7" s="15">
        <x:f>-F5*Assumptions!$B$9</x:f>
        <x:v>-227.37034320000004</x:v>
      </x:c>
      <x:c r="G7" s="15">
        <x:f>-G5*Assumptions!$B$9</x:f>
        <x:v>-239.87571207600004</x:v>
      </x:c>
    </x:row>
    <x:row r="8">
      <x:c r="A8" s="14" t="inlineStr">
        <x:is>
          <x:t xml:space="preserve">EBIT</x:t>
        </x:is>
      </x:c>
      <x:c r="C8" s="15">
        <x:f>C6+C7</x:f>
        <x:v>1161.16</x:v>
      </x:c>
      <x:c r="D8" s="15">
        <x:f>D6+D7</x:f>
        <x:v>1259.8586</x:v>
      </x:c>
      <x:c r="E8" s="15">
        <x:f>E6+E7</x:f>
        <x:v>1354.347995</x:v>
      </x:c>
      <x:c r="F8" s="15">
        <x:f>F6+F7</x:f>
        <x:v>1442.380614675</x:v>
      </x:c>
      <x:c r="G8" s="15">
        <x:f>G6+G7</x:f>
        <x:v>1521.711548482125</x:v>
      </x:c>
    </x:row>
    <x:row r="9">
      <x:c r="A9" s="16" t="inlineStr">
        <x:is>
          <x:t xml:space="preserve">Less: Cash Taxes</x:t>
        </x:is>
      </x:c>
      <x:c r="C9" s="15">
        <x:f>-MAX(0,C8)*Assumptions!$B$12</x:f>
        <x:v>-290.29</x:v>
      </x:c>
      <x:c r="D9" s="15">
        <x:f>-MAX(0,D8)*Assumptions!$B$12</x:f>
        <x:v>-314.96465</x:v>
      </x:c>
      <x:c r="E9" s="15">
        <x:f>-MAX(0,E8)*Assumptions!$B$12</x:f>
        <x:v>-338.58699875</x:v>
      </x:c>
      <x:c r="F9" s="15">
        <x:f>-MAX(0,F8)*Assumptions!$B$12</x:f>
        <x:v>-360.59515366875</x:v>
      </x:c>
      <x:c r="G9" s="15">
        <x:f>-MAX(0,G8)*Assumptions!$B$12</x:f>
        <x:v>-380.42788712053124</x:v>
      </x:c>
    </x:row>
    <x:row r="10">
      <x:c r="A10" s="14" t="inlineStr">
        <x:is>
          <x:t xml:space="preserve">NOPAT</x:t>
        </x:is>
      </x:c>
      <x:c r="C10" s="15">
        <x:f>C8+C9</x:f>
        <x:v>870.8700000000001</x:v>
      </x:c>
      <x:c r="D10" s="15">
        <x:f>D8+D9</x:f>
        <x:v>944.89395</x:v>
      </x:c>
      <x:c r="E10" s="15">
        <x:f>E8+E9</x:f>
        <x:v>1015.7609962500001</x:v>
      </x:c>
      <x:c r="F10" s="15">
        <x:f>F8+F9</x:f>
        <x:v>1081.78546100625</x:v>
      </x:c>
      <x:c r="G10" s="15">
        <x:f>G8+G9</x:f>
        <x:v>1141.2836613615937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</x:cols>
  <x:sheetData>
    <x:row r="1" ht="26" customHeight="1">
      <x:c r="A1" s="1" t="inlineStr">
        <x:is>
          <x:t xml:space="preserve">Unlevered Free Cash Flow (Forecast)</x:t>
        </x:is>
      </x:c>
    </x:row>
    <x:row r="3">
      <x:c r="A3" s="13" t="inlineStr">
        <x:is>
          <x:t xml:space="preserve">($mm)</x:t>
        </x:is>
      </x:c>
    </x:row>
    <x:row r="4" ht="18" customHeight="1">
      <x:c r="A4" s="7" t="inlineStr">
        <x:is>
          <x:t xml:space="preserve">FY</x:t>
        </x:is>
      </x:c>
      <x:c r="B4" s="7" t="n"/>
      <x:c r="C4" s="7" t="n">
        <x:v>2026</x:v>
      </x:c>
      <x:c r="D4" s="7" t="n">
        <x:v>2027</x:v>
      </x:c>
      <x:c r="E4" s="7" t="n">
        <x:v>2028</x:v>
      </x:c>
      <x:c r="F4" s="7" t="n">
        <x:v>2029</x:v>
      </x:c>
      <x:c r="G4" s="7" t="n">
        <x:v>2030</x:v>
      </x:c>
    </x:row>
    <x:row r="5">
      <x:c r="A5" s="16" t="inlineStr">
        <x:is>
          <x:t xml:space="preserve">NOPAT</x:t>
        </x:is>
      </x:c>
      <x:c r="C5" s="17">
        <x:f>Income_Statement!C10</x:f>
        <x:v>870.8700000000001</x:v>
      </x:c>
      <x:c r="D5" s="17">
        <x:f>Income_Statement!D10</x:f>
        <x:v>944.89395</x:v>
      </x:c>
      <x:c r="E5" s="17">
        <x:f>Income_Statement!E10</x:f>
        <x:v>1015.7609962500001</x:v>
      </x:c>
      <x:c r="F5" s="17">
        <x:f>Income_Statement!F10</x:f>
        <x:v>1081.78546100625</x:v>
      </x:c>
      <x:c r="G5" s="17">
        <x:f>Income_Statement!G10</x:f>
        <x:v>1141.2836613615937</x:v>
      </x:c>
    </x:row>
    <x:row r="6">
      <x:c r="A6" s="16" t="inlineStr">
        <x:is>
          <x:t xml:space="preserve">Add: D&amp;A</x:t>
        </x:is>
      </x:c>
      <x:c r="C6" s="17">
        <x:f>-Income_Statement!C7</x:f>
        <x:v>183.04000000000002</x:v>
      </x:c>
      <x:c r="D6" s="17">
        <x:f>-Income_Statement!D7</x:f>
        <x:v>198.59840000000003</x:v>
      </x:c>
      <x:c r="E6" s="17">
        <x:f>-Income_Statement!E7</x:f>
        <x:v>213.49328000000003</x:v>
      </x:c>
      <x:c r="F6" s="17">
        <x:f>-Income_Statement!F7</x:f>
        <x:v>227.37034320000004</x:v>
      </x:c>
      <x:c r="G6" s="17">
        <x:f>-Income_Statement!G7</x:f>
        <x:v>239.87571207600004</x:v>
      </x:c>
    </x:row>
    <x:row r="7">
      <x:c r="A7" s="16" t="inlineStr">
        <x:is>
          <x:t xml:space="preserve">Less: Capex</x:t>
        </x:is>
      </x:c>
      <x:c r="C7" s="17">
        <x:f>-Income_Statement!C5*Assumptions!$B$10</x:f>
        <x:v>-257.40000000000003</x:v>
      </x:c>
      <x:c r="D7" s="17">
        <x:f>-Income_Statement!D5*Assumptions!$B$10</x:f>
        <x:v>-279.279</x:v>
      </x:c>
      <x:c r="E7" s="17">
        <x:f>-Income_Statement!E5*Assumptions!$B$10</x:f>
        <x:v>-300.22492500000004</x:v>
      </x:c>
      <x:c r="F7" s="17">
        <x:f>-Income_Statement!F5*Assumptions!$B$10</x:f>
        <x:v>-319.739545125</x:v>
      </x:c>
      <x:c r="G7" s="17">
        <x:f>-Income_Statement!G5*Assumptions!$B$10</x:f>
        <x:v>-337.325220106875</x:v>
      </x:c>
    </x:row>
    <x:row r="8">
      <x:c r="A8" s="16" t="inlineStr">
        <x:is>
          <x:t xml:space="preserve">Less: Change in NWC</x:t>
        </x:is>
      </x:c>
      <x:c r="C8" s="17">
        <x:f>-(Cash_Flow!C10-(Assumptions!$B$7*Assumptions!$B$11))</x:f>
        <x:v>-44.200000000000045</x:v>
      </x:c>
      <x:c r="D8" s="17">
        <x:f>-(Cash_Flow!D10-Cash_Flow!C10)</x:f>
        <x:v>-41.32699999999994</x:v>
      </x:c>
      <x:c r="E8" s="17">
        <x:f>-(Cash_Flow!E10-Cash_Flow!D10)</x:f>
        <x:v>-39.56452500000012</x:v>
      </x:c>
      <x:c r="F8" s="17">
        <x:f>-(Cash_Flow!F10-Cash_Flow!E10)</x:f>
        <x:v>-36.860949124999934</x:v>
      </x:c>
      <x:c r="G8" s="17">
        <x:f>-(Cash_Flow!G10-Cash_Flow!F10)</x:f>
        <x:v>-33.21738607687507</x:v>
      </x:c>
    </x:row>
    <x:row r="9">
      <x:c r="A9" s="14" t="inlineStr">
        <x:is>
          <x:t xml:space="preserve">Unlevered Free Cash Flow</x:t>
        </x:is>
      </x:c>
      <x:c r="C9" s="17">
        <x:f>SUM(C5:C8)</x:f>
        <x:v>752.3100000000001</x:v>
      </x:c>
      <x:c r="D9" s="17">
        <x:f>SUM(D5:D8)</x:f>
        <x:v>822.8863500000001</x:v>
      </x:c>
      <x:c r="E9" s="17">
        <x:f>SUM(E5:E8)</x:f>
        <x:v>889.46482625</x:v>
      </x:c>
      <x:c r="F9" s="17">
        <x:f>SUM(F5:F8)</x:f>
        <x:v>952.5553099562501</x:v>
      </x:c>
      <x:c r="G9" s="17">
        <x:f>SUM(G5:G8)</x:f>
        <x:v>1010.6167672538436</x:v>
      </x:c>
    </x:row>
    <x:row r="10">
      <x:c r="A10" s="14" t="inlineStr">
        <x:is>
          <x:t xml:space="preserve">Net Working Capital</x:t>
        </x:is>
      </x:c>
      <x:c r="C10" s="17">
        <x:f>Income_Statement!C5*Assumptions!$B$11</x:f>
        <x:v>486.2000000000001</x:v>
      </x:c>
      <x:c r="D10" s="17">
        <x:f>Income_Statement!D5*Assumptions!$B$11</x:f>
        <x:v>527.527</x:v>
      </x:c>
      <x:c r="E10" s="17">
        <x:f>Income_Statement!E5*Assumptions!$B$11</x:f>
        <x:v>567.0915250000002</x:v>
      </x:c>
      <x:c r="F10" s="17">
        <x:f>Income_Statement!F5*Assumptions!$B$11</x:f>
        <x:v>603.9524741250001</x:v>
      </x:c>
      <x:c r="G10" s="17">
        <x:f>Income_Statement!G5*Assumptions!$B$11</x:f>
        <x:v>637.1698602018752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8" customWidth="1"/>
    <x:col min="3" max="3" width="6" customWidth="1"/>
  </x:cols>
  <x:sheetData>
    <x:row r="1" ht="26" customHeight="1">
      <x:c r="A1" s="1" t="inlineStr">
        <x:is>
          <x:t xml:space="preserve">WACC Calculation</x:t>
        </x:is>
      </x:c>
    </x:row>
    <x:row r="3" ht="20" customHeight="1">
      <x:c r="A3" s="4" t="inlineStr">
        <x:is>
          <x:t xml:space="preserve">Cost of Equity</x:t>
        </x:is>
      </x:c>
    </x:row>
    <x:row r="4" ht="18" customHeight="1">
      <x:c r="A4" s="7" t="inlineStr">
        <x:is>
          <x:t xml:space="preserve">Input</x:t>
        </x:is>
      </x:c>
      <x:c r="B4" s="7" t="inlineStr">
        <x:is>
          <x:t xml:space="preserve">Value</x:t>
        </x:is>
      </x:c>
    </x:row>
    <x:row r="5">
      <x:c r="A5" s="18" t="inlineStr">
        <x:is>
          <x:t xml:space="preserve">Risk-free rate</x:t>
        </x:is>
      </x:c>
      <x:c r="B5" s="19" t="n">
        <x:v>0.041</x:v>
      </x:c>
    </x:row>
    <x:row r="6">
      <x:c r="A6" s="18" t="inlineStr">
        <x:is>
          <x:t xml:space="preserve">Equity risk premium</x:t>
        </x:is>
      </x:c>
      <x:c r="B6" s="19" t="n">
        <x:v>0.055</x:v>
      </x:c>
    </x:row>
    <x:row r="7">
      <x:c r="A7" s="18" t="inlineStr">
        <x:is>
          <x:t xml:space="preserve">Levered beta</x:t>
        </x:is>
      </x:c>
      <x:c r="B7" s="20" t="n">
        <x:v>1.2</x:v>
      </x:c>
    </x:row>
    <x:row r="8">
      <x:c r="A8" s="18" t="inlineStr">
        <x:is>
          <x:t xml:space="preserve">Size/Specific risk premium</x:t>
        </x:is>
      </x:c>
      <x:c r="B8" s="19" t="n">
        <x:v>0.005</x:v>
      </x:c>
    </x:row>
    <x:row r="9">
      <x:c r="A9" s="2" t="inlineStr">
        <x:is>
          <x:t xml:space="preserve">Cost of Equity</x:t>
        </x:is>
      </x:c>
      <x:c r="B9" s="21">
        <x:f>B5+B6*B7+B8</x:f>
        <x:v>0.11200000000000002</x:v>
      </x:c>
    </x:row>
    <x:row r="11" ht="20" customHeight="1">
      <x:c r="A11" s="4" t="inlineStr">
        <x:is>
          <x:t xml:space="preserve">Cost of Debt &amp; Capital Structure</x:t>
        </x:is>
      </x:c>
    </x:row>
    <x:row r="12">
      <x:c r="A12" s="18" t="inlineStr">
        <x:is>
          <x:t xml:space="preserve">Pre-tax Cost of Debt</x:t>
        </x:is>
      </x:c>
      <x:c r="B12" s="19" t="n">
        <x:v>0.062</x:v>
      </x:c>
    </x:row>
    <x:row r="13">
      <x:c r="A13" s="18" t="inlineStr">
        <x:is>
          <x:t xml:space="preserve">Marginal Tax Rate</x:t>
        </x:is>
      </x:c>
      <x:c r="B13" s="22">
        <x:f>Assumptions!$B$12</x:f>
        <x:v>0.25</x:v>
      </x:c>
    </x:row>
    <x:row r="14">
      <x:c r="A14" s="18" t="inlineStr">
        <x:is>
          <x:t xml:space="preserve">After-tax Cost of Debt</x:t>
        </x:is>
      </x:c>
      <x:c r="B14" s="23">
        <x:f>B12*(1-B13)</x:f>
        <x:v>0.0465</x:v>
      </x:c>
    </x:row>
    <x:row r="15">
      <x:c r="A15" s="18" t="inlineStr">
        <x:is>
          <x:t xml:space="preserve">Target Debt / (Debt+Equity)</x:t>
        </x:is>
      </x:c>
      <x:c r="B15" s="19" t="n">
        <x:v>0.35</x:v>
      </x:c>
    </x:row>
    <x:row r="16">
      <x:c r="A16" s="18" t="inlineStr">
        <x:is>
          <x:t xml:space="preserve">Target Equity / (Debt+Equity)</x:t>
        </x:is>
      </x:c>
      <x:c r="B16" s="23">
        <x:f>1-B15</x:f>
        <x:v>0.65</x:v>
      </x:c>
    </x:row>
    <x:row r="17">
      <x:c r="A17" s="24" t="inlineStr">
        <x:is>
          <x:t xml:space="preserve">WACC</x:t>
        </x:is>
      </x:c>
      <x:c r="B17" s="25">
        <x:f>B15*B14+B16*B9</x:f>
        <x:v>0.08907500000000002</x:v>
      </x:c>
    </x:row>
  </x:sheetData>
  <x:mergeCells>
    <x:mergeCell ref="A1:J1"/>
    <x:mergeCell ref="A3:J3"/>
    <x:mergeCell ref="A11:J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22" customWidth="1"/>
    <x:col min="3" max="3" width="18" customWidth="1"/>
    <x:col min="4" max="4" width="18" customWidth="1"/>
  </x:cols>
  <x:sheetData>
    <x:row r="1" ht="26" customHeight="1">
      <x:c r="A1" s="1" t="inlineStr">
        <x:is>
          <x:t xml:space="preserve">DCF Valuation</x:t>
        </x:is>
      </x:c>
    </x:row>
    <x:row r="3" ht="20" customHeight="1">
      <x:c r="A3" s="4" t="inlineStr">
        <x:is>
          <x:t xml:space="preserve">Present Value of Forecast Free Cash Flows</x:t>
        </x:is>
      </x:c>
    </x:row>
    <x:row r="4" ht="18" customHeight="1">
      <x:c r="A4" s="7" t="inlineStr">
        <x:is>
          <x:t xml:space="preserve">FY</x:t>
        </x:is>
      </x:c>
      <x:c r="B4" s="7" t="inlineStr">
        <x:is>
          <x:t xml:space="preserve">UFCF ($mm)</x:t>
        </x:is>
      </x:c>
      <x:c r="C4" s="7" t="inlineStr">
        <x:is>
          <x:t xml:space="preserve">Discount Factor</x:t>
        </x:is>
      </x:c>
      <x:c r="D4" s="7" t="inlineStr">
        <x:is>
          <x:t xml:space="preserve">PV ($mm)</x:t>
        </x:is>
      </x:c>
    </x:row>
    <x:row r="5">
      <x:c r="A5" s="8" t="n">
        <x:v>2026</x:v>
      </x:c>
      <x:c r="B5" s="26">
        <x:f>Cash_Flow!C9</x:f>
        <x:v>752.3100000000001</x:v>
      </x:c>
      <x:c r="C5" s="27">
        <x:f>1/(1+WACC!$B$17)^1</x:f>
        <x:v>0.9182104079149737</x:v>
      </x:c>
      <x:c r="D5" s="26">
        <x:f>B5*C5</x:f>
        <x:v>690.7788719785138</x:v>
      </x:c>
    </x:row>
    <x:row r="6">
      <x:c r="A6" s="8" t="n">
        <x:v>2027</x:v>
      </x:c>
      <x:c r="B6" s="26">
        <x:f>Cash_Flow!D9</x:f>
        <x:v>822.8863500000001</x:v>
      </x:c>
      <x:c r="C6" s="27">
        <x:f>1/(1+WACC!$B$17)^2</x:f>
        <x:v>0.8431103532033825</x:v>
      </x:c>
      <x:c r="D6" s="26">
        <x:f>B6*C6</x:f>
        <x:v>693.7840011947422</x:v>
      </x:c>
    </x:row>
    <x:row r="7">
      <x:c r="A7" s="8" t="n">
        <x:v>2028</x:v>
      </x:c>
      <x:c r="B7" s="26">
        <x:f>Cash_Flow!E9</x:f>
        <x:v>889.46482625</x:v>
      </x:c>
      <x:c r="C7" s="27">
        <x:f>1/(1+WACC!$B$17)^3</x:f>
        <x:v>0.7741527013322154</x:v>
      </x:c>
      <x:c r="D7" s="26">
        <x:f>B7*C7</x:f>
        <x:v>688.5815979814271</x:v>
      </x:c>
    </x:row>
    <x:row r="8">
      <x:c r="A8" s="8" t="n">
        <x:v>2029</x:v>
      </x:c>
      <x:c r="B8" s="26">
        <x:f>Cash_Flow!F9</x:f>
        <x:v>952.5553099562501</x:v>
      </x:c>
      <x:c r="C8" s="27">
        <x:f>1/(1+WACC!$B$17)^4</x:f>
        <x:v>0.7108350676787322</x:v>
      </x:c>
      <x:c r="D8" s="26">
        <x:f>B8*C8</x:f>
        <x:v>677.1097182204867</x:v>
      </x:c>
    </x:row>
    <x:row r="9">
      <x:c r="A9" s="8" t="n">
        <x:v>2030</x:v>
      </x:c>
      <x:c r="B9" s="26">
        <x:f>Cash_Flow!G9</x:f>
        <x:v>1010.6167672538436</x:v>
      </x:c>
      <x:c r="C9" s="27">
        <x:f>1/(1+WACC!$B$17)^5</x:f>
        <x:v>0.6526961574535566</x:v>
      </x:c>
      <x:c r="D9" s="26">
        <x:f>B9*C9</x:f>
        <x:v>659.6256806447191</x:v>
      </x:c>
    </x:row>
    <x:row r="10">
      <x:c r="A10" s="2" t="inlineStr">
        <x:is>
          <x:t xml:space="preserve">PV of Forecast Period</x:t>
        </x:is>
      </x:c>
      <x:c r="D10" s="28">
        <x:f>SUM(D5:D9)</x:f>
        <x:v>3409.879870019889</x:v>
      </x:c>
    </x:row>
    <x:row r="12" ht="20" customHeight="1">
      <x:c r="A12" s="4" t="inlineStr">
        <x:is>
          <x:t xml:space="preserve">Terminal Value</x:t>
        </x:is>
      </x:c>
    </x:row>
    <x:row r="13">
      <x:c r="A13" s="29" t="inlineStr">
        <x:is>
          <x:t xml:space="preserve">Terminal Method</x:t>
        </x:is>
      </x:c>
      <x:c r="B13" s="30" t="str">
        <x:f>Assumptions!$B$26</x:f>
        <x:v>Gordon</x:v>
      </x:c>
    </x:row>
    <x:row r="14">
      <x:c r="A14" s="29" t="inlineStr">
        <x:is>
          <x:t xml:space="preserve">Terminal Growth (g)</x:t>
        </x:is>
      </x:c>
      <x:c r="B14" s="31">
        <x:f>Assumptions!$B$25</x:f>
        <x:v>0.03</x:v>
      </x:c>
    </x:row>
    <x:row r="15">
      <x:c r="A15" s="29" t="inlineStr">
        <x:is>
          <x:t xml:space="preserve">Exit EBITDA Multiple</x:t>
        </x:is>
      </x:c>
      <x:c r="B15" s="32">
        <x:f>Assumptions!$B$27</x:f>
        <x:v>10.5</x:v>
      </x:c>
    </x:row>
    <x:row r="16">
      <x:c r="A16" s="33" t="inlineStr">
        <x:is>
          <x:t xml:space="preserve">Terminal Value ($mm)</x:t>
        </x:is>
      </x:c>
      <x:c r="B16" s="34">
        <x:f>IF(B13="ExitMultiple",Income_Statement!G6*B15,Cash_Flow!G9*(1+B14)/(WACC!$B$17-B14))</x:f>
        <x:v>17620.571650807593</x:v>
      </x:c>
    </x:row>
    <x:row r="17">
      <x:c r="A17" s="33" t="inlineStr">
        <x:is>
          <x:t xml:space="preserve">PV of Terminal Value ($mm)</x:t>
        </x:is>
      </x:c>
      <x:c r="B17" s="34">
        <x:f>B16/(1+WACC!$B$17)^5</x:f>
        <x:v>11500.879408617187</x:v>
      </x:c>
    </x:row>
    <x:row r="19" ht="20" customHeight="1">
      <x:c r="A19" s="35" t="inlineStr">
        <x:is>
          <x:t xml:space="preserve">Equity Value Bridge</x:t>
        </x:is>
      </x:c>
      <x:c r="B19" s="36" t="n"/>
    </x:row>
    <x:row r="20">
      <x:c r="A20" s="29" t="inlineStr">
        <x:is>
          <x:t xml:space="preserve">Enterprise Value ($mm)</x:t>
        </x:is>
      </x:c>
      <x:c r="B20" s="26">
        <x:f>D10+B17</x:f>
        <x:v>14910.759278637077</x:v>
      </x:c>
    </x:row>
    <x:row r="21">
      <x:c r="A21" s="29" t="inlineStr">
        <x:is>
          <x:t xml:space="preserve">Less: Net Debt ($mm)</x:t>
        </x:is>
      </x:c>
      <x:c r="B21" s="26">
        <x:f>-Assumptions!$B$23</x:f>
        <x:v>-1800</x:v>
      </x:c>
    </x:row>
    <x:row r="22">
      <x:c r="A22" s="29" t="inlineStr">
        <x:is>
          <x:t xml:space="preserve">Equity Value ($mm)</x:t>
        </x:is>
      </x:c>
      <x:c r="B22" s="26">
        <x:f>B20+B21</x:f>
        <x:v>13110.759278637077</x:v>
      </x:c>
    </x:row>
    <x:row r="23">
      <x:c r="A23" s="29" t="inlineStr">
        <x:is>
          <x:t xml:space="preserve">Shares Outstanding (mm)</x:t>
        </x:is>
      </x:c>
      <x:c r="B23" s="37">
        <x:f>Assumptions!$B$24</x:f>
        <x:v>420</x:v>
      </x:c>
    </x:row>
    <x:row r="24">
      <x:c r="A24" s="33" t="inlineStr">
        <x:is>
          <x:t xml:space="preserve">Implied Value / Share</x:t>
        </x:is>
      </x:c>
      <x:c r="B24" s="38">
        <x:f>B22/B23</x:f>
        <x:v>31.21609352056447</x:v>
      </x:c>
    </x:row>
  </x:sheetData>
  <x:mergeCells>
    <x:mergeCell ref="A3:L3"/>
    <x:mergeCell ref="A19:L19"/>
    <x:mergeCell ref="A1:L1"/>
    <x:mergeCell ref="A12:L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</x:cols>
  <x:sheetData>
    <x:row r="1" ht="26" customHeight="1">
      <x:c r="A1" s="1" t="inlineStr">
        <x:is>
          <x:t xml:space="preserve">Sensitivity Analysis (Implied Value per Share)</x:t>
        </x:is>
      </x:c>
    </x:row>
    <x:row r="3">
      <x:c r="A3" s="39" t="inlineStr">
        <x:is>
          <x:t xml:space="preserve">Rows: WACC | Columns: Terminal Growth (g)</x:t>
        </x:is>
      </x:c>
    </x:row>
    <x:row r="5">
      <x:c r="A5" s="7" t="inlineStr">
        <x:is>
          <x:t xml:space="preserve">WACC \ g</x:t>
        </x:is>
      </x:c>
      <x:c r="B5" s="40" t="n">
        <x:v>0.02</x:v>
      </x:c>
      <x:c r="C5" s="40" t="n">
        <x:v>0.025</x:v>
      </x:c>
      <x:c r="D5" s="40" t="n">
        <x:v>0.03</x:v>
      </x:c>
      <x:c r="E5" s="40" t="n">
        <x:v>0.035</x:v>
      </x:c>
      <x:c r="F5" s="40" t="n">
        <x:v>0.04</x:v>
      </x:c>
    </x:row>
    <x:row r="6">
      <x:c r="A6" s="40" t="n">
        <x:v>0.08</x:v>
      </x:c>
      <x:c r="B6" s="41">
        <x:f>(NPV($A6,Cash_Flow!C9:G9)+(Cash_Flow!G9*(1+B$5)/($A6-B$5))/(1+$A6)^5-Assumptions!$B$23)/Assumptions!$B$24</x:f>
        <x:v>31.878277188754094</x:v>
      </x:c>
      <x:c r="C6" s="41">
        <x:f>(NPV($A6,Cash_Flow!C9:G9)+(Cash_Flow!G9*(1+C$5)/($A6-C$5))/(1+$A6)^5-Assumptions!$B$23)/Assumptions!$B$24</x:f>
        <x:v>34.5580516969367</x:v>
      </x:c>
      <x:c r="D6" s="41">
        <x:f>(NPV($A6,Cash_Flow!C9:G9)+(Cash_Flow!G9*(1+D$5)/($A6-D$5))/(1+$A6)^5-Assumptions!$B$23)/Assumptions!$B$24</x:f>
        <x:v>37.773781106755834</x:v>
      </x:c>
      <x:c r="E6" s="41">
        <x:f>(NPV($A6,Cash_Flow!C9:G9)+(Cash_Flow!G9*(1+E$5)/($A6-E$5))/(1+$A6)^5-Assumptions!$B$23)/Assumptions!$B$24</x:f>
        <x:v>41.70411705209034</x:v>
      </x:c>
      <x:c r="F6" s="41">
        <x:f>(NPV($A6,Cash_Flow!C9:G9)+(Cash_Flow!G9*(1+F$5)/($A6-F$5))/(1+$A6)^5-Assumptions!$B$23)/Assumptions!$B$24</x:f>
        <x:v>46.61703698375845</x:v>
      </x:c>
    </x:row>
    <x:row r="7">
      <x:c r="A7" s="40" t="n">
        <x:v>0.08500000000000001</x:v>
      </x:c>
      <x:c r="B7" s="41">
        <x:f>(NPV($A7,Cash_Flow!C9:G9)+(Cash_Flow!G9*(1+B$5)/($A7-B$5))/(1+$A7)^5-Assumptions!$B$23)/Assumptions!$B$24</x:f>
        <x:v>29.035924163569764</x:v>
      </x:c>
      <x:c r="C7" s="41">
        <x:f>(NPV($A7,Cash_Flow!C9:G9)+(Cash_Flow!G9*(1+C$5)/($A7-C$5))/(1+$A7)^5-Assumptions!$B$23)/Assumptions!$B$24</x:f>
        <x:v>31.261916442264468</x:v>
      </x:c>
      <x:c r="D7" s="41">
        <x:f>(NPV($A7,Cash_Flow!C9:G9)+(Cash_Flow!G9*(1+D$5)/($A7-D$5))/(1+$A7)^5-Assumptions!$B$23)/Assumptions!$B$24</x:f>
        <x:v>33.89263458981275</x:v>
      </x:c>
      <x:c r="E7" s="41">
        <x:f>(NPV($A7,Cash_Flow!C9:G9)+(Cash_Flow!G9*(1+E$5)/($A7-E$5))/(1+$A7)^5-Assumptions!$B$23)/Assumptions!$B$24</x:f>
        <x:v>37.04949636687069</x:v>
      </x:c>
      <x:c r="F7" s="41">
        <x:f>(NPV($A7,Cash_Flow!C9:G9)+(Cash_Flow!G9*(1+F$5)/($A7-F$5))/(1+$A7)^5-Assumptions!$B$23)/Assumptions!$B$24</x:f>
        <x:v>40.907882983274845</x:v>
      </x:c>
    </x:row>
    <x:row r="8">
      <x:c r="A8" s="40" t="n">
        <x:v>0.09</x:v>
      </x:c>
      <x:c r="B8" s="41">
        <x:f>(NPV($A8,Cash_Flow!C9:G9)+(Cash_Flow!G9*(1+B$5)/($A8-B$5))/(1+$A8)^5-Assumptions!$B$23)/Assumptions!$B$24</x:f>
        <x:v>26.60059415692345</x:v>
      </x:c>
      <x:c r="C8" s="41">
        <x:f>(NPV($A8,Cash_Flow!C9:G9)+(Cash_Flow!G9*(1+C$5)/($A8-C$5))/(1+$A8)^5-Assumptions!$B$23)/Assumptions!$B$24</x:f>
        <x:v>28.47381863794864</x:v>
      </x:c>
      <x:c r="D8" s="41">
        <x:f>(NPV($A8,Cash_Flow!C9:G9)+(Cash_Flow!G9*(1+D$5)/($A8-D$5))/(1+$A8)^5-Assumptions!$B$23)/Assumptions!$B$24</x:f>
        <x:v>30.65924719914471</x:v>
      </x:c>
      <x:c r="E8" s="41">
        <x:f>(NPV($A8,Cash_Flow!C9:G9)+(Cash_Flow!G9*(1+E$5)/($A8-E$5))/(1+$A8)^5-Assumptions!$B$23)/Assumptions!$B$24</x:f>
        <x:v>33.24202640783097</x:v>
      </x:c>
      <x:c r="F8" s="41">
        <x:f>(NPV($A8,Cash_Flow!C9:G9)+(Cash_Flow!G9*(1+F$5)/($A8-F$5))/(1+$A8)^5-Assumptions!$B$23)/Assumptions!$B$24</x:f>
        <x:v>36.34136145825448</x:v>
      </x:c>
    </x:row>
    <x:row r="9">
      <x:c r="A9" s="40" t="n">
        <x:v>0.095</x:v>
      </x:c>
      <x:c r="B9" s="41">
        <x:f>(NPV($A9,Cash_Flow!C9:G9)+(Cash_Flow!G9*(1+B$5)/($A9-B$5))/(1+$A9)^5-Assumptions!$B$23)/Assumptions!$B$24</x:f>
        <x:v>24.490861631945243</x:v>
      </x:c>
      <x:c r="C9" s="41">
        <x:f>(NPV($A9,Cash_Flow!C9:G9)+(Cash_Flow!G9*(1+C$5)/($A9-C$5))/(1+$A9)^5-Assumptions!$B$23)/Assumptions!$B$24</x:f>
        <x:v>26.084873069281542</x:v>
      </x:c>
      <x:c r="D9" s="41">
        <x:f>(NPV($A9,Cash_Flow!C9:G9)+(Cash_Flow!G9*(1+D$5)/($A9-D$5))/(1+$A9)^5-Assumptions!$B$23)/Assumptions!$B$24</x:f>
        <x:v>27.924117035438822</x:v>
      </x:c>
      <x:c r="E9" s="41">
        <x:f>(NPV($A9,Cash_Flow!C9:G9)+(Cash_Flow!G9*(1+E$5)/($A9-E$5))/(1+$A9)^5-Assumptions!$B$23)/Assumptions!$B$24</x:f>
        <x:v>30.06990166262231</x:v>
      </x:c>
      <x:c r="F9" s="41">
        <x:f>(NPV($A9,Cash_Flow!C9:G9)+(Cash_Flow!G9*(1+F$5)/($A9-F$5))/(1+$A9)^5-Assumptions!$B$23)/Assumptions!$B$24</x:f>
        <x:v>32.60582894929371</x:v>
      </x:c>
    </x:row>
    <x:row r="10">
      <x:c r="A10" s="40" t="n">
        <x:v>0.1</x:v>
      </x:c>
      <x:c r="B10" s="41">
        <x:f>(NPV($A10,Cash_Flow!C9:G9)+(Cash_Flow!G9*(1+B$5)/($A10-B$5))/(1+$A10)^5-Assumptions!$B$23)/Assumptions!$B$24</x:f>
        <x:v>22.645657990776535</x:v>
      </x:c>
      <x:c r="C10" s="41">
        <x:f>(NPV($A10,Cash_Flow!C9:G9)+(Cash_Flow!G9*(1+C$5)/($A10-C$5))/(1+$A10)^5-Assumptions!$B$23)/Assumptions!$B$24</x:f>
        <x:v>24.015231106355753</x:v>
      </x:c>
      <x:c r="D10" s="41">
        <x:f>(NPV($A10,Cash_Flow!C9:G9)+(Cash_Flow!G9*(1+D$5)/($A10-D$5))/(1+$A10)^5-Assumptions!$B$23)/Assumptions!$B$24</x:f>
        <x:v>25.580457524160572</x:v>
      </x:c>
      <x:c r="E10" s="41">
        <x:f>(NPV($A10,Cash_Flow!C9:G9)+(Cash_Flow!G9*(1+E$5)/($A10-E$5))/(1+$A10)^5-Assumptions!$B$23)/Assumptions!$B$24</x:f>
        <x:v>27.386488006243052</x:v>
      </x:c>
      <x:c r="F10" s="41">
        <x:f>(NPV($A10,Cash_Flow!C9:G9)+(Cash_Flow!G9*(1+F$5)/($A10-F$5))/(1+$A10)^5-Assumptions!$B$23)/Assumptions!$B$24</x:f>
        <x:v>29.493523568672618</x:v>
      </x:c>
    </x:row>
    <x:row r="11">
      <x:c r="A11" s="40" t="n">
        <x:v>0.105</x:v>
      </x:c>
      <x:c r="B11" s="41">
        <x:f>(NPV($A11,Cash_Flow!C9:G9)+(Cash_Flow!G9*(1+B$5)/($A11-B$5))/(1+$A11)^5-Assumptions!$B$23)/Assumptions!$B$24</x:f>
        <x:v>21.01828422224318</x:v>
      </x:c>
      <x:c r="C11" s="41">
        <x:f>(NPV($A11,Cash_Flow!C9:G9)+(Cash_Flow!G9*(1+C$5)/($A11-C$5))/(1+$A11)^5-Assumptions!$B$23)/Assumptions!$B$24</x:f>
        <x:v>22.205006754937756</x:v>
      </x:c>
      <x:c r="D11" s="41">
        <x:f>(NPV($A11,Cash_Flow!C9:G9)+(Cash_Flow!G9*(1+D$5)/($A11-D$5))/(1+$A11)^5-Assumptions!$B$23)/Assumptions!$B$24</x:f>
        <x:v>23.549958958658273</x:v>
      </x:c>
      <x:c r="E11" s="41">
        <x:f>(NPV($A11,Cash_Flow!C9:G9)+(Cash_Flow!G9*(1+E$5)/($A11-E$5))/(1+$A11)^5-Assumptions!$B$23)/Assumptions!$B$24</x:f>
        <x:v>25.087047191481723</x:v>
      </x:c>
      <x:c r="F11" s="41">
        <x:f>(NPV($A11,Cash_Flow!C9:G9)+(Cash_Flow!G9*(1+F$5)/($A11-F$5))/(1+$A11)^5-Assumptions!$B$23)/Assumptions!$B$24</x:f>
        <x:v>26.860610537047233</x:v>
      </x:c>
    </x:row>
    <x:row r="12">
      <x:c r="A12" s="40" t="n">
        <x:v>0.11</x:v>
      </x:c>
      <x:c r="B12" s="41">
        <x:f>(NPV($A12,Cash_Flow!C9:G9)+(Cash_Flow!G9*(1+B$5)/($A12-B$5))/(1+$A12)^5-Assumptions!$B$23)/Assumptions!$B$24</x:f>
        <x:v>19.572419334257297</x:v>
      </x:c>
      <x:c r="C12" s="41">
        <x:f>(NPV($A12,Cash_Flow!C9:G9)+(Cash_Flow!G9*(1+C$5)/($A12-C$5))/(1+$A12)^5-Assumptions!$B$23)/Assumptions!$B$24</x:f>
        <x:v>20.608405278204376</x:v>
      </x:c>
      <x:c r="D12" s="41">
        <x:f>(NPV($A12,Cash_Flow!C9:G9)+(Cash_Flow!G9*(1+D$5)/($A12-D$5))/(1+$A12)^5-Assumptions!$B$23)/Assumptions!$B$24</x:f>
        <x:v>21.773889465144848</x:v>
      </x:c>
      <x:c r="E12" s="41">
        <x:f>(NPV($A12,Cash_Flow!C9:G9)+(Cash_Flow!G9*(1+E$5)/($A12-E$5))/(1+$A12)^5-Assumptions!$B$23)/Assumptions!$B$24</x:f>
        <x:v>23.09477154367738</x:v>
      </x:c>
      <x:c r="F12" s="41">
        <x:f>(NPV($A12,Cash_Flow!C9:G9)+(Cash_Flow!G9*(1+F$5)/($A12-F$5))/(1+$A12)^5-Assumptions!$B$23)/Assumptions!$B$24</x:f>
        <x:v>24.60435106200027</x:v>
      </x:c>
    </x:row>
    <x:row r="13">
      <x:c r="A13" s="40" t="n">
        <x:v>0.115</x:v>
      </x:c>
      <x:c r="B13" s="41">
        <x:f>(NPV($A13,Cash_Flow!C9:G9)+(Cash_Flow!G9*(1+B$5)/($A13-B$5))/(1+$A13)^5-Assumptions!$B$23)/Assumptions!$B$24</x:f>
        <x:v>18.27938928181267</x:v>
      </x:c>
      <x:c r="C13" s="41">
        <x:f>(NPV($A13,Cash_Flow!C9:G9)+(Cash_Flow!G9*(1+C$5)/($A13-C$5))/(1+$A13)^5-Assumptions!$B$23)/Assumptions!$B$24</x:f>
        <x:v>19.18980894509466</x:v>
      </x:c>
      <x:c r="D13" s="41">
        <x:f>(NPV($A13,Cash_Flow!C9:G9)+(Cash_Flow!G9*(1+D$5)/($A13-D$5))/(1+$A13)^5-Assumptions!$B$23)/Assumptions!$B$24</x:f>
        <x:v>20.207336804056883</x:v>
      </x:c>
      <x:c r="E13" s="41">
        <x:f>(NPV($A13,Cash_Flow!C9:G9)+(Cash_Flow!G9*(1+E$5)/($A13-E$5))/(1+$A13)^5-Assumptions!$B$23)/Assumptions!$B$24</x:f>
        <x:v>21.35205564538938</x:v>
      </x:c>
      <x:c r="F13" s="41">
        <x:f>(NPV($A13,Cash_Flow!C9:G9)+(Cash_Flow!G9*(1+F$5)/($A13-F$5))/(1+$A13)^5-Assumptions!$B$23)/Assumptions!$B$24</x:f>
        <x:v>22.649403665566222</x:v>
      </x:c>
    </x:row>
    <x:row r="14">
      <x:c r="A14" s="40" t="n">
        <x:v>0.12</x:v>
      </x:c>
      <x:c r="B14" s="41">
        <x:f>(NPV($A14,Cash_Flow!C9:G9)+(Cash_Flow!G9*(1+B$5)/($A14-B$5))/(1+$A14)^5-Assumptions!$B$23)/Assumptions!$B$24</x:f>
        <x:v>17.116255217093016</x:v>
      </x:c>
      <x:c r="C14" s="41">
        <x:f>(NPV($A14,Cash_Flow!C9:G9)+(Cash_Flow!G9*(1+C$5)/($A14-C$5))/(1+$A14)^5-Assumptions!$B$23)/Assumptions!$B$24</x:f>
        <x:v>17.921098858607884</x:v>
      </x:c>
      <x:c r="D14" s="41">
        <x:f>(NPV($A14,Cash_Flow!C9:G9)+(Cash_Flow!G9*(1+D$5)/($A14-D$5))/(1+$A14)^5-Assumptions!$B$23)/Assumptions!$B$24</x:f>
        <x:v>18.815369571402183</x:v>
      </x:c>
      <x:c r="E14" s="41">
        <x:f>(NPV($A14,Cash_Flow!C9:G9)+(Cash_Flow!G9*(1+E$5)/($A14-E$5))/(1+$A14)^5-Assumptions!$B$23)/Assumptions!$B$24</x:f>
        <x:v>19.81484860334875</x:v>
      </x:c>
      <x:c r="F14" s="41">
        <x:f>(NPV($A14,Cash_Flow!C9:G9)+(Cash_Flow!G9*(1+F$5)/($A14-F$5))/(1+$A14)^5-Assumptions!$B$23)/Assumptions!$B$24</x:f>
        <x:v>20.939262514288643</x:v>
      </x:c>
    </x:row>
  </x:sheetData>
  <x:mergeCells>
    <x:mergeCell ref="A1:L1"/>
  </x:mergeCells>
  <x:pageMargins left="0.7" right="0.7" top="0.75" bottom="0.75" header="0.3" footer="0.3"/>
</x:worksheet>
</file>