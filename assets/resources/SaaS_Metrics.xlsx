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$0;[Red]($0);&quot;-&quot;;@"/>
    <numFmt numFmtId="166" formatCode="$#,##0;[Red]($#,##0);&quot;-&quot;;@"/>
    <numFmt numFmtId="167" formatCode="#,##0;[Red](#,##0);&quot;-&quot;;@"/>
    <numFmt numFmtId="168" formatCode="0.0%;[Red](0.0%);&quot;-&quot;;@"/>
    <numFmt numFmtId="169" formatCode="0.0&quot;x&quot;;[Red](0.0&quot;x&quot;);&quot;-&quot;;@"/>
    <numFmt numFmtId="170" formatCode="0.0;[Red](0.0);&quot;-&quot;;@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FF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0B2F4E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7" fontId="0" fillId="0" borderId="0" pivotButton="0" quotePrefix="0" xfId="0"/>
    <xf numFmtId="166" fontId="0" fillId="0" borderId="0" pivotButton="0" quotePrefix="0" xfId="0"/>
    <xf numFmtId="166" fontId="3" fillId="4" borderId="0" pivotButton="0" quotePrefix="0" xfId="0"/>
    <xf numFmtId="167" fontId="0" fillId="0" borderId="0" pivotButton="0" quotePrefix="0" xfId="0"/>
    <xf numFmtId="165" fontId="3" fillId="4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17" fontId="0" fillId="0" borderId="1" pivotButton="0" quotePrefix="0" xfId="0"/>
    <xf numFmtId="168" fontId="3" fillId="4" borderId="1" pivotButton="0" quotePrefix="0" xfId="0"/>
    <xf numFmtId="168" fontId="0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7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Bridge Components (Last 12 Months)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'Data'!$A$17:$A$28</f>
            </numRef>
          </cat>
          <val>
            <numRef>
              <f>'Data'!$C$17:$C$28</f>
            </numRef>
          </val>
        </ser>
        <ser>
          <idx val="1"/>
          <order val="1"/>
          <tx>
            <strRef>
              <f>'Data'!D16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'Data'!$A$17:$A$28</f>
            </numRef>
          </cat>
          <val>
            <numRef>
              <f>'Data'!$D$17:$D$28</f>
            </numRef>
          </val>
        </ser>
        <ser>
          <idx val="2"/>
          <order val="2"/>
          <tx>
            <strRef>
              <f>'Data'!E16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'Data'!$A$17:$A$28</f>
            </numRef>
          </cat>
          <val>
            <numRef>
              <f>'Data'!$E$17:$E$28</f>
            </numRef>
          </val>
        </ser>
        <ser>
          <idx val="3"/>
          <order val="3"/>
          <tx>
            <strRef>
              <f>'Data'!F16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'Data'!$A$17:$A$28</f>
            </numRef>
          </cat>
          <val>
            <numRef>
              <f>'Data'!$F$17:$F$28</f>
            </numRef>
          </val>
        </ser>
        <dLbls>
          <showVal val="0"/>
        </dLbls>
        <gapWidth val="150"/>
        <axId val="10"/>
        <axId val="100"/>
      </barChart>
      <lineChart>
        <grouping val="standard"/>
        <ser>
          <idx val="4"/>
          <order val="4"/>
          <tx>
            <strRef>
              <f>'Data'!G16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'Data'!$A$17:$A$28</f>
            </numRef>
          </cat>
          <val>
            <numRef>
              <f>'Data'!$G$17:$G$28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MRR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Ending MRR ($)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5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 ht="26" customHeight="1">
      <c r="A1" s="1" t="inlineStr">
        <is>
          <t>SaaS Unit Economics Tracker - Data</t>
        </is>
      </c>
    </row>
    <row r="4" ht="18" customHeight="1">
      <c r="A4" s="2" t="inlineStr">
        <is>
          <t>Month</t>
        </is>
      </c>
      <c r="B4" s="2" t="inlineStr">
        <is>
          <t>Beginning MRR</t>
        </is>
      </c>
      <c r="C4" s="2" t="inlineStr">
        <is>
          <t>New MRR</t>
        </is>
      </c>
      <c r="D4" s="2" t="inlineStr">
        <is>
          <t>Expansion</t>
        </is>
      </c>
      <c r="E4" s="2" t="inlineStr">
        <is>
          <t>Contraction</t>
        </is>
      </c>
      <c r="F4" s="2" t="inlineStr">
        <is>
          <t>Churn</t>
        </is>
      </c>
      <c r="G4" s="2" t="inlineStr">
        <is>
          <t>Ending MRR</t>
        </is>
      </c>
      <c r="H4" s="2" t="inlineStr">
        <is>
          <t>New Customers</t>
        </is>
      </c>
      <c r="I4" s="2" t="inlineStr">
        <is>
          <t>Churned Customers</t>
        </is>
      </c>
      <c r="J4" s="2" t="inlineStr">
        <is>
          <t>ARPA ($/mo)</t>
        </is>
      </c>
      <c r="K4" s="2" t="inlineStr">
        <is>
          <t>S&amp;M Spend</t>
        </is>
      </c>
      <c r="L4" s="2" t="inlineStr">
        <is>
          <t>CAC</t>
        </is>
      </c>
      <c r="M4" s="2" t="inlineStr">
        <is>
          <t>Net New MRR</t>
        </is>
      </c>
      <c r="N4" s="2" t="inlineStr">
        <is>
          <t>NRR</t>
        </is>
      </c>
    </row>
    <row r="5">
      <c r="A5" s="3" t="n">
        <v>45292</v>
      </c>
      <c r="B5" s="4" t="n">
        <v>220000</v>
      </c>
      <c r="C5" s="5" t="n">
        <v>18000</v>
      </c>
      <c r="D5" s="5" t="n">
        <v>6500</v>
      </c>
      <c r="E5" s="5" t="n">
        <v>2200</v>
      </c>
      <c r="F5" s="5" t="n">
        <v>9500</v>
      </c>
      <c r="G5" s="4">
        <f>B5+C5+D5-E5-F5</f>
        <v/>
      </c>
      <c r="H5" s="6">
        <f>IF(J5=0,0,ROUND(C5/J5,0))</f>
        <v/>
      </c>
      <c r="I5" s="6">
        <f>IF(J5=0,0,ROUND(F5/J5,0))</f>
        <v/>
      </c>
      <c r="J5" s="7" t="n">
        <v>320</v>
      </c>
      <c r="K5" s="5" t="n">
        <v>78000</v>
      </c>
      <c r="L5" s="4">
        <f>IF(H5=0,"-",K5/H5)</f>
        <v/>
      </c>
      <c r="M5" s="4">
        <f>G5-B5</f>
        <v/>
      </c>
      <c r="N5" s="8">
        <f>IF(B5=0,"-",(B5+D5-E5-F5)/B5)</f>
        <v/>
      </c>
    </row>
    <row r="6">
      <c r="A6" s="3" t="n">
        <v>45352</v>
      </c>
      <c r="B6" s="4">
        <f>G5</f>
        <v/>
      </c>
      <c r="C6" s="5" t="n">
        <v>18350</v>
      </c>
      <c r="D6" s="5" t="n">
        <v>6620</v>
      </c>
      <c r="E6" s="5" t="n">
        <v>2240</v>
      </c>
      <c r="F6" s="5" t="n">
        <v>9590</v>
      </c>
      <c r="G6" s="4">
        <f>B6+C6+D6-E6-F6</f>
        <v/>
      </c>
      <c r="H6" s="6">
        <f>IF(J6=0,0,ROUND(C6/J6,0))</f>
        <v/>
      </c>
      <c r="I6" s="6">
        <f>IF(J6=0,0,ROUND(F6/J6,0))</f>
        <v/>
      </c>
      <c r="J6" s="7" t="n">
        <v>320</v>
      </c>
      <c r="K6" s="5" t="n">
        <v>78900</v>
      </c>
      <c r="L6" s="4">
        <f>IF(H6=0,"-",K6/H6)</f>
        <v/>
      </c>
      <c r="M6" s="4">
        <f>G6-B6</f>
        <v/>
      </c>
      <c r="N6" s="8">
        <f>IF(B6=0,"-",(B6+D6-E6-F6)/B6)</f>
        <v/>
      </c>
    </row>
    <row r="7">
      <c r="A7" s="3" t="n">
        <v>45383</v>
      </c>
      <c r="B7" s="4">
        <f>G6</f>
        <v/>
      </c>
      <c r="C7" s="5" t="n">
        <v>18700</v>
      </c>
      <c r="D7" s="5" t="n">
        <v>6740</v>
      </c>
      <c r="E7" s="5" t="n">
        <v>2280</v>
      </c>
      <c r="F7" s="5" t="n">
        <v>9680</v>
      </c>
      <c r="G7" s="4">
        <f>B7+C7+D7-E7-F7</f>
        <v/>
      </c>
      <c r="H7" s="6">
        <f>IF(J7=0,0,ROUND(C7/J7,0))</f>
        <v/>
      </c>
      <c r="I7" s="6">
        <f>IF(J7=0,0,ROUND(F7/J7,0))</f>
        <v/>
      </c>
      <c r="J7" s="7" t="n">
        <v>320</v>
      </c>
      <c r="K7" s="5" t="n">
        <v>79800</v>
      </c>
      <c r="L7" s="4">
        <f>IF(H7=0,"-",K7/H7)</f>
        <v/>
      </c>
      <c r="M7" s="4">
        <f>G7-B7</f>
        <v/>
      </c>
      <c r="N7" s="8">
        <f>IF(B7=0,"-",(B7+D7-E7-F7)/B7)</f>
        <v/>
      </c>
    </row>
    <row r="8">
      <c r="A8" s="3" t="n">
        <v>45413</v>
      </c>
      <c r="B8" s="4">
        <f>G7</f>
        <v/>
      </c>
      <c r="C8" s="5" t="n">
        <v>19050</v>
      </c>
      <c r="D8" s="5" t="n">
        <v>6860</v>
      </c>
      <c r="E8" s="5" t="n">
        <v>2320</v>
      </c>
      <c r="F8" s="5" t="n">
        <v>9770</v>
      </c>
      <c r="G8" s="4">
        <f>B8+C8+D8-E8-F8</f>
        <v/>
      </c>
      <c r="H8" s="6">
        <f>IF(J8=0,0,ROUND(C8/J8,0))</f>
        <v/>
      </c>
      <c r="I8" s="6">
        <f>IF(J8=0,0,ROUND(F8/J8,0))</f>
        <v/>
      </c>
      <c r="J8" s="7" t="n">
        <v>320</v>
      </c>
      <c r="K8" s="5" t="n">
        <v>80700</v>
      </c>
      <c r="L8" s="4">
        <f>IF(H8=0,"-",K8/H8)</f>
        <v/>
      </c>
      <c r="M8" s="4">
        <f>G8-B8</f>
        <v/>
      </c>
      <c r="N8" s="8">
        <f>IF(B8=0,"-",(B8+D8-E8-F8)/B8)</f>
        <v/>
      </c>
    </row>
    <row r="9">
      <c r="A9" s="3" t="n">
        <v>45444</v>
      </c>
      <c r="B9" s="4">
        <f>G8</f>
        <v/>
      </c>
      <c r="C9" s="5" t="n">
        <v>19400</v>
      </c>
      <c r="D9" s="5" t="n">
        <v>6980</v>
      </c>
      <c r="E9" s="5" t="n">
        <v>2360</v>
      </c>
      <c r="F9" s="5" t="n">
        <v>9860</v>
      </c>
      <c r="G9" s="4">
        <f>B9+C9+D9-E9-F9</f>
        <v/>
      </c>
      <c r="H9" s="6">
        <f>IF(J9=0,0,ROUND(C9/J9,0))</f>
        <v/>
      </c>
      <c r="I9" s="6">
        <f>IF(J9=0,0,ROUND(F9/J9,0))</f>
        <v/>
      </c>
      <c r="J9" s="7" t="n">
        <v>320</v>
      </c>
      <c r="K9" s="5" t="n">
        <v>81600</v>
      </c>
      <c r="L9" s="4">
        <f>IF(H9=0,"-",K9/H9)</f>
        <v/>
      </c>
      <c r="M9" s="4">
        <f>G9-B9</f>
        <v/>
      </c>
      <c r="N9" s="8">
        <f>IF(B9=0,"-",(B9+D9-E9-F9)/B9)</f>
        <v/>
      </c>
    </row>
    <row r="10">
      <c r="A10" s="3" t="n">
        <v>45474</v>
      </c>
      <c r="B10" s="4">
        <f>G9</f>
        <v/>
      </c>
      <c r="C10" s="5" t="n">
        <v>19750</v>
      </c>
      <c r="D10" s="5" t="n">
        <v>7100</v>
      </c>
      <c r="E10" s="5" t="n">
        <v>2400</v>
      </c>
      <c r="F10" s="5" t="n">
        <v>9950</v>
      </c>
      <c r="G10" s="4">
        <f>B10+C10+D10-E10-F10</f>
        <v/>
      </c>
      <c r="H10" s="6">
        <f>IF(J10=0,0,ROUND(C10/J10,0))</f>
        <v/>
      </c>
      <c r="I10" s="6">
        <f>IF(J10=0,0,ROUND(F10/J10,0))</f>
        <v/>
      </c>
      <c r="J10" s="7" t="n">
        <v>320</v>
      </c>
      <c r="K10" s="5" t="n">
        <v>82500</v>
      </c>
      <c r="L10" s="4">
        <f>IF(H10=0,"-",K10/H10)</f>
        <v/>
      </c>
      <c r="M10" s="4">
        <f>G10-B10</f>
        <v/>
      </c>
      <c r="N10" s="8">
        <f>IF(B10=0,"-",(B10+D10-E10-F10)/B10)</f>
        <v/>
      </c>
    </row>
    <row r="11">
      <c r="A11" s="3" t="n">
        <v>45505</v>
      </c>
      <c r="B11" s="4">
        <f>G10</f>
        <v/>
      </c>
      <c r="C11" s="5" t="n">
        <v>20100</v>
      </c>
      <c r="D11" s="5" t="n">
        <v>7220</v>
      </c>
      <c r="E11" s="5" t="n">
        <v>2440</v>
      </c>
      <c r="F11" s="5" t="n">
        <v>10040</v>
      </c>
      <c r="G11" s="4">
        <f>B11+C11+D11-E11-F11</f>
        <v/>
      </c>
      <c r="H11" s="6">
        <f>IF(J11=0,0,ROUND(C11/J11,0))</f>
        <v/>
      </c>
      <c r="I11" s="6">
        <f>IF(J11=0,0,ROUND(F11/J11,0))</f>
        <v/>
      </c>
      <c r="J11" s="7" t="n">
        <v>320</v>
      </c>
      <c r="K11" s="5" t="n">
        <v>83400</v>
      </c>
      <c r="L11" s="4">
        <f>IF(H11=0,"-",K11/H11)</f>
        <v/>
      </c>
      <c r="M11" s="4">
        <f>G11-B11</f>
        <v/>
      </c>
      <c r="N11" s="8">
        <f>IF(B11=0,"-",(B11+D11-E11-F11)/B11)</f>
        <v/>
      </c>
    </row>
    <row r="12">
      <c r="A12" s="3" t="n">
        <v>45536</v>
      </c>
      <c r="B12" s="4">
        <f>G11</f>
        <v/>
      </c>
      <c r="C12" s="5" t="n">
        <v>20450</v>
      </c>
      <c r="D12" s="5" t="n">
        <v>7340</v>
      </c>
      <c r="E12" s="5" t="n">
        <v>2480</v>
      </c>
      <c r="F12" s="5" t="n">
        <v>10130</v>
      </c>
      <c r="G12" s="4">
        <f>B12+C12+D12-E12-F12</f>
        <v/>
      </c>
      <c r="H12" s="6">
        <f>IF(J12=0,0,ROUND(C12/J12,0))</f>
        <v/>
      </c>
      <c r="I12" s="6">
        <f>IF(J12=0,0,ROUND(F12/J12,0))</f>
        <v/>
      </c>
      <c r="J12" s="7" t="n">
        <v>320</v>
      </c>
      <c r="K12" s="5" t="n">
        <v>84300</v>
      </c>
      <c r="L12" s="4">
        <f>IF(H12=0,"-",K12/H12)</f>
        <v/>
      </c>
      <c r="M12" s="4">
        <f>G12-B12</f>
        <v/>
      </c>
      <c r="N12" s="8">
        <f>IF(B12=0,"-",(B12+D12-E12-F12)/B12)</f>
        <v/>
      </c>
    </row>
    <row r="13">
      <c r="A13" s="3" t="n">
        <v>45566</v>
      </c>
      <c r="B13" s="4">
        <f>G12</f>
        <v/>
      </c>
      <c r="C13" s="5" t="n">
        <v>20800</v>
      </c>
      <c r="D13" s="5" t="n">
        <v>7460</v>
      </c>
      <c r="E13" s="5" t="n">
        <v>2520</v>
      </c>
      <c r="F13" s="5" t="n">
        <v>10220</v>
      </c>
      <c r="G13" s="4">
        <f>B13+C13+D13-E13-F13</f>
        <v/>
      </c>
      <c r="H13" s="6">
        <f>IF(J13=0,0,ROUND(C13/J13,0))</f>
        <v/>
      </c>
      <c r="I13" s="6">
        <f>IF(J13=0,0,ROUND(F13/J13,0))</f>
        <v/>
      </c>
      <c r="J13" s="7" t="n">
        <v>320</v>
      </c>
      <c r="K13" s="5" t="n">
        <v>85200</v>
      </c>
      <c r="L13" s="4">
        <f>IF(H13=0,"-",K13/H13)</f>
        <v/>
      </c>
      <c r="M13" s="4">
        <f>G13-B13</f>
        <v/>
      </c>
      <c r="N13" s="8">
        <f>IF(B13=0,"-",(B13+D13-E13-F13)/B13)</f>
        <v/>
      </c>
    </row>
    <row r="14">
      <c r="A14" s="3" t="n">
        <v>45597</v>
      </c>
      <c r="B14" s="4">
        <f>G13</f>
        <v/>
      </c>
      <c r="C14" s="5" t="n">
        <v>21150</v>
      </c>
      <c r="D14" s="5" t="n">
        <v>7580</v>
      </c>
      <c r="E14" s="5" t="n">
        <v>2560</v>
      </c>
      <c r="F14" s="5" t="n">
        <v>10310</v>
      </c>
      <c r="G14" s="4">
        <f>B14+C14+D14-E14-F14</f>
        <v/>
      </c>
      <c r="H14" s="6">
        <f>IF(J14=0,0,ROUND(C14/J14,0))</f>
        <v/>
      </c>
      <c r="I14" s="6">
        <f>IF(J14=0,0,ROUND(F14/J14,0))</f>
        <v/>
      </c>
      <c r="J14" s="7" t="n">
        <v>320</v>
      </c>
      <c r="K14" s="5" t="n">
        <v>86100</v>
      </c>
      <c r="L14" s="4">
        <f>IF(H14=0,"-",K14/H14)</f>
        <v/>
      </c>
      <c r="M14" s="4">
        <f>G14-B14</f>
        <v/>
      </c>
      <c r="N14" s="8">
        <f>IF(B14=0,"-",(B14+D14-E14-F14)/B14)</f>
        <v/>
      </c>
    </row>
    <row r="15">
      <c r="A15" s="3" t="n">
        <v>45627</v>
      </c>
      <c r="B15" s="4">
        <f>G14</f>
        <v/>
      </c>
      <c r="C15" s="5" t="n">
        <v>21500</v>
      </c>
      <c r="D15" s="5" t="n">
        <v>7700</v>
      </c>
      <c r="E15" s="5" t="n">
        <v>2600</v>
      </c>
      <c r="F15" s="5" t="n">
        <v>10400</v>
      </c>
      <c r="G15" s="4">
        <f>B15+C15+D15-E15-F15</f>
        <v/>
      </c>
      <c r="H15" s="6">
        <f>IF(J15=0,0,ROUND(C15/J15,0))</f>
        <v/>
      </c>
      <c r="I15" s="6">
        <f>IF(J15=0,0,ROUND(F15/J15,0))</f>
        <v/>
      </c>
      <c r="J15" s="7" t="n">
        <v>320</v>
      </c>
      <c r="K15" s="5" t="n">
        <v>87000</v>
      </c>
      <c r="L15" s="4">
        <f>IF(H15=0,"-",K15/H15)</f>
        <v/>
      </c>
      <c r="M15" s="4">
        <f>G15-B15</f>
        <v/>
      </c>
      <c r="N15" s="8">
        <f>IF(B15=0,"-",(B15+D15-E15-F15)/B15)</f>
        <v/>
      </c>
    </row>
    <row r="16">
      <c r="A16" s="3" t="n">
        <v>45658</v>
      </c>
      <c r="B16" s="4">
        <f>G15</f>
        <v/>
      </c>
      <c r="C16" s="5" t="n">
        <v>21850</v>
      </c>
      <c r="D16" s="5" t="n">
        <v>7820</v>
      </c>
      <c r="E16" s="5" t="n">
        <v>2640</v>
      </c>
      <c r="F16" s="5" t="n">
        <v>10490</v>
      </c>
      <c r="G16" s="4">
        <f>B16+C16+D16-E16-F16</f>
        <v/>
      </c>
      <c r="H16" s="6">
        <f>IF(J16=0,0,ROUND(C16/J16,0))</f>
        <v/>
      </c>
      <c r="I16" s="6">
        <f>IF(J16=0,0,ROUND(F16/J16,0))</f>
        <v/>
      </c>
      <c r="J16" s="7" t="n">
        <v>320</v>
      </c>
      <c r="K16" s="5" t="n">
        <v>87900</v>
      </c>
      <c r="L16" s="4">
        <f>IF(H16=0,"-",K16/H16)</f>
        <v/>
      </c>
      <c r="M16" s="4">
        <f>G16-B16</f>
        <v/>
      </c>
      <c r="N16" s="8">
        <f>IF(B16=0,"-",(B16+D16-E16-F16)/B16)</f>
        <v/>
      </c>
    </row>
    <row r="17">
      <c r="A17" s="3" t="n">
        <v>45689</v>
      </c>
      <c r="B17" s="4">
        <f>G16</f>
        <v/>
      </c>
      <c r="C17" s="5" t="n">
        <v>22200</v>
      </c>
      <c r="D17" s="5" t="n">
        <v>7940</v>
      </c>
      <c r="E17" s="5" t="n">
        <v>2680</v>
      </c>
      <c r="F17" s="5" t="n">
        <v>10580</v>
      </c>
      <c r="G17" s="4">
        <f>B17+C17+D17-E17-F17</f>
        <v/>
      </c>
      <c r="H17" s="6">
        <f>IF(J17=0,0,ROUND(C17/J17,0))</f>
        <v/>
      </c>
      <c r="I17" s="6">
        <f>IF(J17=0,0,ROUND(F17/J17,0))</f>
        <v/>
      </c>
      <c r="J17" s="7" t="n">
        <v>340</v>
      </c>
      <c r="K17" s="5" t="n">
        <v>88800</v>
      </c>
      <c r="L17" s="4">
        <f>IF(H17=0,"-",K17/H17)</f>
        <v/>
      </c>
      <c r="M17" s="4">
        <f>G17-B17</f>
        <v/>
      </c>
      <c r="N17" s="8">
        <f>IF(B17=0,"-",(B17+D17-E17-F17)/B17)</f>
        <v/>
      </c>
    </row>
    <row r="18">
      <c r="A18" s="3" t="n">
        <v>45717</v>
      </c>
      <c r="B18" s="4">
        <f>G17</f>
        <v/>
      </c>
      <c r="C18" s="5" t="n">
        <v>22550</v>
      </c>
      <c r="D18" s="5" t="n">
        <v>8060</v>
      </c>
      <c r="E18" s="5" t="n">
        <v>2720</v>
      </c>
      <c r="F18" s="5" t="n">
        <v>10670</v>
      </c>
      <c r="G18" s="4">
        <f>B18+C18+D18-E18-F18</f>
        <v/>
      </c>
      <c r="H18" s="6">
        <f>IF(J18=0,0,ROUND(C18/J18,0))</f>
        <v/>
      </c>
      <c r="I18" s="6">
        <f>IF(J18=0,0,ROUND(F18/J18,0))</f>
        <v/>
      </c>
      <c r="J18" s="7" t="n">
        <v>340</v>
      </c>
      <c r="K18" s="5" t="n">
        <v>89700</v>
      </c>
      <c r="L18" s="4">
        <f>IF(H18=0,"-",K18/H18)</f>
        <v/>
      </c>
      <c r="M18" s="4">
        <f>G18-B18</f>
        <v/>
      </c>
      <c r="N18" s="8">
        <f>IF(B18=0,"-",(B18+D18-E18-F18)/B18)</f>
        <v/>
      </c>
    </row>
    <row r="19">
      <c r="A19" s="3" t="n">
        <v>45748</v>
      </c>
      <c r="B19" s="4">
        <f>G18</f>
        <v/>
      </c>
      <c r="C19" s="5" t="n">
        <v>22900</v>
      </c>
      <c r="D19" s="5" t="n">
        <v>8180</v>
      </c>
      <c r="E19" s="5" t="n">
        <v>2760</v>
      </c>
      <c r="F19" s="5" t="n">
        <v>10760</v>
      </c>
      <c r="G19" s="4">
        <f>B19+C19+D19-E19-F19</f>
        <v/>
      </c>
      <c r="H19" s="6">
        <f>IF(J19=0,0,ROUND(C19/J19,0))</f>
        <v/>
      </c>
      <c r="I19" s="6">
        <f>IF(J19=0,0,ROUND(F19/J19,0))</f>
        <v/>
      </c>
      <c r="J19" s="7" t="n">
        <v>340</v>
      </c>
      <c r="K19" s="5" t="n">
        <v>90600</v>
      </c>
      <c r="L19" s="4">
        <f>IF(H19=0,"-",K19/H19)</f>
        <v/>
      </c>
      <c r="M19" s="4">
        <f>G19-B19</f>
        <v/>
      </c>
      <c r="N19" s="8">
        <f>IF(B19=0,"-",(B19+D19-E19-F19)/B19)</f>
        <v/>
      </c>
    </row>
    <row r="20">
      <c r="A20" s="3" t="n">
        <v>45778</v>
      </c>
      <c r="B20" s="4">
        <f>G19</f>
        <v/>
      </c>
      <c r="C20" s="5" t="n">
        <v>23250</v>
      </c>
      <c r="D20" s="5" t="n">
        <v>8300</v>
      </c>
      <c r="E20" s="5" t="n">
        <v>2800</v>
      </c>
      <c r="F20" s="5" t="n">
        <v>10850</v>
      </c>
      <c r="G20" s="4">
        <f>B20+C20+D20-E20-F20</f>
        <v/>
      </c>
      <c r="H20" s="6">
        <f>IF(J20=0,0,ROUND(C20/J20,0))</f>
        <v/>
      </c>
      <c r="I20" s="6">
        <f>IF(J20=0,0,ROUND(F20/J20,0))</f>
        <v/>
      </c>
      <c r="J20" s="7" t="n">
        <v>340</v>
      </c>
      <c r="K20" s="5" t="n">
        <v>91500</v>
      </c>
      <c r="L20" s="4">
        <f>IF(H20=0,"-",K20/H20)</f>
        <v/>
      </c>
      <c r="M20" s="4">
        <f>G20-B20</f>
        <v/>
      </c>
      <c r="N20" s="8">
        <f>IF(B20=0,"-",(B20+D20-E20-F20)/B20)</f>
        <v/>
      </c>
    </row>
    <row r="21">
      <c r="A21" s="3" t="n">
        <v>45809</v>
      </c>
      <c r="B21" s="4">
        <f>G20</f>
        <v/>
      </c>
      <c r="C21" s="5" t="n">
        <v>23600</v>
      </c>
      <c r="D21" s="5" t="n">
        <v>8420</v>
      </c>
      <c r="E21" s="5" t="n">
        <v>2840</v>
      </c>
      <c r="F21" s="5" t="n">
        <v>10940</v>
      </c>
      <c r="G21" s="4">
        <f>B21+C21+D21-E21-F21</f>
        <v/>
      </c>
      <c r="H21" s="6">
        <f>IF(J21=0,0,ROUND(C21/J21,0))</f>
        <v/>
      </c>
      <c r="I21" s="6">
        <f>IF(J21=0,0,ROUND(F21/J21,0))</f>
        <v/>
      </c>
      <c r="J21" s="7" t="n">
        <v>340</v>
      </c>
      <c r="K21" s="5" t="n">
        <v>92400</v>
      </c>
      <c r="L21" s="4">
        <f>IF(H21=0,"-",K21/H21)</f>
        <v/>
      </c>
      <c r="M21" s="4">
        <f>G21-B21</f>
        <v/>
      </c>
      <c r="N21" s="8">
        <f>IF(B21=0,"-",(B21+D21-E21-F21)/B21)</f>
        <v/>
      </c>
    </row>
    <row r="22">
      <c r="A22" s="3" t="n">
        <v>45839</v>
      </c>
      <c r="B22" s="4">
        <f>G21</f>
        <v/>
      </c>
      <c r="C22" s="5" t="n">
        <v>23950</v>
      </c>
      <c r="D22" s="5" t="n">
        <v>8540</v>
      </c>
      <c r="E22" s="5" t="n">
        <v>2880</v>
      </c>
      <c r="F22" s="5" t="n">
        <v>11030</v>
      </c>
      <c r="G22" s="4">
        <f>B22+C22+D22-E22-F22</f>
        <v/>
      </c>
      <c r="H22" s="6">
        <f>IF(J22=0,0,ROUND(C22/J22,0))</f>
        <v/>
      </c>
      <c r="I22" s="6">
        <f>IF(J22=0,0,ROUND(F22/J22,0))</f>
        <v/>
      </c>
      <c r="J22" s="7" t="n">
        <v>340</v>
      </c>
      <c r="K22" s="5" t="n">
        <v>93300</v>
      </c>
      <c r="L22" s="4">
        <f>IF(H22=0,"-",K22/H22)</f>
        <v/>
      </c>
      <c r="M22" s="4">
        <f>G22-B22</f>
        <v/>
      </c>
      <c r="N22" s="8">
        <f>IF(B22=0,"-",(B22+D22-E22-F22)/B22)</f>
        <v/>
      </c>
    </row>
    <row r="23">
      <c r="A23" s="3" t="n">
        <v>45870</v>
      </c>
      <c r="B23" s="4">
        <f>G22</f>
        <v/>
      </c>
      <c r="C23" s="5" t="n">
        <v>24300</v>
      </c>
      <c r="D23" s="5" t="n">
        <v>8660</v>
      </c>
      <c r="E23" s="5" t="n">
        <v>2920</v>
      </c>
      <c r="F23" s="5" t="n">
        <v>11120</v>
      </c>
      <c r="G23" s="4">
        <f>B23+C23+D23-E23-F23</f>
        <v/>
      </c>
      <c r="H23" s="6">
        <f>IF(J23=0,0,ROUND(C23/J23,0))</f>
        <v/>
      </c>
      <c r="I23" s="6">
        <f>IF(J23=0,0,ROUND(F23/J23,0))</f>
        <v/>
      </c>
      <c r="J23" s="7" t="n">
        <v>340</v>
      </c>
      <c r="K23" s="5" t="n">
        <v>94200</v>
      </c>
      <c r="L23" s="4">
        <f>IF(H23=0,"-",K23/H23)</f>
        <v/>
      </c>
      <c r="M23" s="4">
        <f>G23-B23</f>
        <v/>
      </c>
      <c r="N23" s="8">
        <f>IF(B23=0,"-",(B23+D23-E23-F23)/B23)</f>
        <v/>
      </c>
    </row>
    <row r="24">
      <c r="A24" s="3" t="n">
        <v>45901</v>
      </c>
      <c r="B24" s="4">
        <f>G23</f>
        <v/>
      </c>
      <c r="C24" s="5" t="n">
        <v>24650</v>
      </c>
      <c r="D24" s="5" t="n">
        <v>8780</v>
      </c>
      <c r="E24" s="5" t="n">
        <v>2960</v>
      </c>
      <c r="F24" s="5" t="n">
        <v>11210</v>
      </c>
      <c r="G24" s="4">
        <f>B24+C24+D24-E24-F24</f>
        <v/>
      </c>
      <c r="H24" s="6">
        <f>IF(J24=0,0,ROUND(C24/J24,0))</f>
        <v/>
      </c>
      <c r="I24" s="6">
        <f>IF(J24=0,0,ROUND(F24/J24,0))</f>
        <v/>
      </c>
      <c r="J24" s="7" t="n">
        <v>340</v>
      </c>
      <c r="K24" s="5" t="n">
        <v>95100</v>
      </c>
      <c r="L24" s="4">
        <f>IF(H24=0,"-",K24/H24)</f>
        <v/>
      </c>
      <c r="M24" s="4">
        <f>G24-B24</f>
        <v/>
      </c>
      <c r="N24" s="8">
        <f>IF(B24=0,"-",(B24+D24-E24-F24)/B24)</f>
        <v/>
      </c>
    </row>
    <row r="25">
      <c r="A25" s="3" t="n">
        <v>45931</v>
      </c>
      <c r="B25" s="4">
        <f>G24</f>
        <v/>
      </c>
      <c r="C25" s="5" t="n">
        <v>25000</v>
      </c>
      <c r="D25" s="5" t="n">
        <v>8900</v>
      </c>
      <c r="E25" s="5" t="n">
        <v>3000</v>
      </c>
      <c r="F25" s="5" t="n">
        <v>11300</v>
      </c>
      <c r="G25" s="4">
        <f>B25+C25+D25-E25-F25</f>
        <v/>
      </c>
      <c r="H25" s="6">
        <f>IF(J25=0,0,ROUND(C25/J25,0))</f>
        <v/>
      </c>
      <c r="I25" s="6">
        <f>IF(J25=0,0,ROUND(F25/J25,0))</f>
        <v/>
      </c>
      <c r="J25" s="7" t="n">
        <v>340</v>
      </c>
      <c r="K25" s="5" t="n">
        <v>96000</v>
      </c>
      <c r="L25" s="4">
        <f>IF(H25=0,"-",K25/H25)</f>
        <v/>
      </c>
      <c r="M25" s="4">
        <f>G25-B25</f>
        <v/>
      </c>
      <c r="N25" s="8">
        <f>IF(B25=0,"-",(B25+D25-E25-F25)/B25)</f>
        <v/>
      </c>
    </row>
    <row r="26">
      <c r="A26" s="3" t="n">
        <v>45962</v>
      </c>
      <c r="B26" s="4">
        <f>G25</f>
        <v/>
      </c>
      <c r="C26" s="5" t="n">
        <v>25350</v>
      </c>
      <c r="D26" s="5" t="n">
        <v>9020</v>
      </c>
      <c r="E26" s="5" t="n">
        <v>3040</v>
      </c>
      <c r="F26" s="5" t="n">
        <v>11390</v>
      </c>
      <c r="G26" s="4">
        <f>B26+C26+D26-E26-F26</f>
        <v/>
      </c>
      <c r="H26" s="6">
        <f>IF(J26=0,0,ROUND(C26/J26,0))</f>
        <v/>
      </c>
      <c r="I26" s="6">
        <f>IF(J26=0,0,ROUND(F26/J26,0))</f>
        <v/>
      </c>
      <c r="J26" s="7" t="n">
        <v>340</v>
      </c>
      <c r="K26" s="5" t="n">
        <v>96900</v>
      </c>
      <c r="L26" s="4">
        <f>IF(H26=0,"-",K26/H26)</f>
        <v/>
      </c>
      <c r="M26" s="4">
        <f>G26-B26</f>
        <v/>
      </c>
      <c r="N26" s="8">
        <f>IF(B26=0,"-",(B26+D26-E26-F26)/B26)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6" customHeight="1">
      <c r="A1" s="1" t="inlineStr">
        <is>
          <t>Cohort Retention (Heat Map)</t>
        </is>
      </c>
    </row>
    <row r="3">
      <c r="A3" s="9" t="inlineStr">
        <is>
          <t>Retention % by cohort month; formulas use cohort-specific monthly churn assumptions.</t>
        </is>
      </c>
    </row>
    <row r="5" ht="18" customHeight="1">
      <c r="A5" s="2" t="inlineStr">
        <is>
          <t>Cohort</t>
        </is>
      </c>
      <c r="B5" s="2" t="inlineStr">
        <is>
          <t>Monthly Churn</t>
        </is>
      </c>
      <c r="C5" s="2" t="inlineStr">
        <is>
          <t>M0</t>
        </is>
      </c>
      <c r="D5" s="2" t="inlineStr">
        <is>
          <t>M1</t>
        </is>
      </c>
      <c r="E5" s="2" t="inlineStr">
        <is>
          <t>M2</t>
        </is>
      </c>
      <c r="F5" s="2" t="inlineStr">
        <is>
          <t>M3</t>
        </is>
      </c>
      <c r="G5" s="2" t="inlineStr">
        <is>
          <t>M4</t>
        </is>
      </c>
      <c r="H5" s="2" t="inlineStr">
        <is>
          <t>M5</t>
        </is>
      </c>
      <c r="I5" s="2" t="inlineStr">
        <is>
          <t>M6</t>
        </is>
      </c>
      <c r="J5" s="2" t="inlineStr">
        <is>
          <t>M7</t>
        </is>
      </c>
      <c r="K5" s="2" t="inlineStr">
        <is>
          <t>M8</t>
        </is>
      </c>
      <c r="L5" s="2" t="inlineStr">
        <is>
          <t>M9</t>
        </is>
      </c>
      <c r="M5" s="2" t="inlineStr">
        <is>
          <t>M10</t>
        </is>
      </c>
      <c r="N5" s="2" t="inlineStr">
        <is>
          <t>M11</t>
        </is>
      </c>
      <c r="O5" s="2" t="inlineStr">
        <is>
          <t>M12</t>
        </is>
      </c>
    </row>
    <row r="6">
      <c r="A6" s="10" t="n">
        <v>45292</v>
      </c>
      <c r="B6" s="11" t="n">
        <v>0.035</v>
      </c>
      <c r="C6" s="12">
        <f>1</f>
        <v/>
      </c>
      <c r="D6" s="12">
        <f>(1-$B6)^1</f>
        <v/>
      </c>
      <c r="E6" s="12">
        <f>(1-$B6)^2</f>
        <v/>
      </c>
      <c r="F6" s="12">
        <f>(1-$B6)^3</f>
        <v/>
      </c>
      <c r="G6" s="12">
        <f>(1-$B6)^4</f>
        <v/>
      </c>
      <c r="H6" s="12">
        <f>(1-$B6)^5</f>
        <v/>
      </c>
      <c r="I6" s="12">
        <f>(1-$B6)^6</f>
        <v/>
      </c>
      <c r="J6" s="12">
        <f>(1-$B6)^7</f>
        <v/>
      </c>
      <c r="K6" s="12">
        <f>(1-$B6)^8</f>
        <v/>
      </c>
      <c r="L6" s="12">
        <f>(1-$B6)^9</f>
        <v/>
      </c>
      <c r="M6" s="12">
        <f>(1-$B6)^10</f>
        <v/>
      </c>
      <c r="N6" s="12">
        <f>(1-$B6)^11</f>
        <v/>
      </c>
      <c r="O6" s="12">
        <f>(1-$B6)^12</f>
        <v/>
      </c>
    </row>
    <row r="7">
      <c r="A7" s="10" t="n">
        <v>45323</v>
      </c>
      <c r="B7" s="11" t="n">
        <v>0.036</v>
      </c>
      <c r="C7" s="12">
        <f>1</f>
        <v/>
      </c>
      <c r="D7" s="12">
        <f>(1-$B7)^1</f>
        <v/>
      </c>
      <c r="E7" s="12">
        <f>(1-$B7)^2</f>
        <v/>
      </c>
      <c r="F7" s="12">
        <f>(1-$B7)^3</f>
        <v/>
      </c>
      <c r="G7" s="12">
        <f>(1-$B7)^4</f>
        <v/>
      </c>
      <c r="H7" s="12">
        <f>(1-$B7)^5</f>
        <v/>
      </c>
      <c r="I7" s="12">
        <f>(1-$B7)^6</f>
        <v/>
      </c>
      <c r="J7" s="12">
        <f>(1-$B7)^7</f>
        <v/>
      </c>
      <c r="K7" s="12">
        <f>(1-$B7)^8</f>
        <v/>
      </c>
      <c r="L7" s="12">
        <f>(1-$B7)^9</f>
        <v/>
      </c>
      <c r="M7" s="12">
        <f>(1-$B7)^10</f>
        <v/>
      </c>
      <c r="N7" s="12">
        <f>(1-$B7)^11</f>
        <v/>
      </c>
      <c r="O7" s="12">
        <f>(1-$B7)^12</f>
        <v/>
      </c>
    </row>
    <row r="8">
      <c r="A8" s="10" t="n">
        <v>45352</v>
      </c>
      <c r="B8" s="11" t="n">
        <v>0.03700000000000001</v>
      </c>
      <c r="C8" s="12">
        <f>1</f>
        <v/>
      </c>
      <c r="D8" s="12">
        <f>(1-$B8)^1</f>
        <v/>
      </c>
      <c r="E8" s="12">
        <f>(1-$B8)^2</f>
        <v/>
      </c>
      <c r="F8" s="12">
        <f>(1-$B8)^3</f>
        <v/>
      </c>
      <c r="G8" s="12">
        <f>(1-$B8)^4</f>
        <v/>
      </c>
      <c r="H8" s="12">
        <f>(1-$B8)^5</f>
        <v/>
      </c>
      <c r="I8" s="12">
        <f>(1-$B8)^6</f>
        <v/>
      </c>
      <c r="J8" s="12">
        <f>(1-$B8)^7</f>
        <v/>
      </c>
      <c r="K8" s="12">
        <f>(1-$B8)^8</f>
        <v/>
      </c>
      <c r="L8" s="12">
        <f>(1-$B8)^9</f>
        <v/>
      </c>
      <c r="M8" s="12">
        <f>(1-$B8)^10</f>
        <v/>
      </c>
      <c r="N8" s="12">
        <f>(1-$B8)^11</f>
        <v/>
      </c>
      <c r="O8" s="12">
        <f>(1-$B8)^12</f>
        <v/>
      </c>
    </row>
    <row r="9">
      <c r="A9" s="10" t="n">
        <v>45383</v>
      </c>
      <c r="B9" s="11" t="n">
        <v>0.03800000000000001</v>
      </c>
      <c r="C9" s="12">
        <f>1</f>
        <v/>
      </c>
      <c r="D9" s="12">
        <f>(1-$B9)^1</f>
        <v/>
      </c>
      <c r="E9" s="12">
        <f>(1-$B9)^2</f>
        <v/>
      </c>
      <c r="F9" s="12">
        <f>(1-$B9)^3</f>
        <v/>
      </c>
      <c r="G9" s="12">
        <f>(1-$B9)^4</f>
        <v/>
      </c>
      <c r="H9" s="12">
        <f>(1-$B9)^5</f>
        <v/>
      </c>
      <c r="I9" s="12">
        <f>(1-$B9)^6</f>
        <v/>
      </c>
      <c r="J9" s="12">
        <f>(1-$B9)^7</f>
        <v/>
      </c>
      <c r="K9" s="12">
        <f>(1-$B9)^8</f>
        <v/>
      </c>
      <c r="L9" s="12">
        <f>(1-$B9)^9</f>
        <v/>
      </c>
      <c r="M9" s="12">
        <f>(1-$B9)^10</f>
        <v/>
      </c>
      <c r="N9" s="12">
        <f>(1-$B9)^11</f>
        <v/>
      </c>
      <c r="O9" s="12">
        <f>(1-$B9)^12</f>
        <v/>
      </c>
    </row>
    <row r="10">
      <c r="A10" s="10" t="n">
        <v>45413</v>
      </c>
      <c r="B10" s="11" t="n">
        <v>0.03900000000000001</v>
      </c>
      <c r="C10" s="12">
        <f>1</f>
        <v/>
      </c>
      <c r="D10" s="12">
        <f>(1-$B10)^1</f>
        <v/>
      </c>
      <c r="E10" s="12">
        <f>(1-$B10)^2</f>
        <v/>
      </c>
      <c r="F10" s="12">
        <f>(1-$B10)^3</f>
        <v/>
      </c>
      <c r="G10" s="12">
        <f>(1-$B10)^4</f>
        <v/>
      </c>
      <c r="H10" s="12">
        <f>(1-$B10)^5</f>
        <v/>
      </c>
      <c r="I10" s="12">
        <f>(1-$B10)^6</f>
        <v/>
      </c>
      <c r="J10" s="12">
        <f>(1-$B10)^7</f>
        <v/>
      </c>
      <c r="K10" s="12">
        <f>(1-$B10)^8</f>
        <v/>
      </c>
      <c r="L10" s="12">
        <f>(1-$B10)^9</f>
        <v/>
      </c>
      <c r="M10" s="12">
        <f>(1-$B10)^10</f>
        <v/>
      </c>
      <c r="N10" s="12">
        <f>(1-$B10)^11</f>
        <v/>
      </c>
      <c r="O10" s="12">
        <f>(1-$B10)^12</f>
        <v/>
      </c>
    </row>
    <row r="11">
      <c r="A11" s="10" t="n">
        <v>45444</v>
      </c>
      <c r="B11" s="11" t="n">
        <v>0.04</v>
      </c>
      <c r="C11" s="12">
        <f>1</f>
        <v/>
      </c>
      <c r="D11" s="12">
        <f>(1-$B11)^1</f>
        <v/>
      </c>
      <c r="E11" s="12">
        <f>(1-$B11)^2</f>
        <v/>
      </c>
      <c r="F11" s="12">
        <f>(1-$B11)^3</f>
        <v/>
      </c>
      <c r="G11" s="12">
        <f>(1-$B11)^4</f>
        <v/>
      </c>
      <c r="H11" s="12">
        <f>(1-$B11)^5</f>
        <v/>
      </c>
      <c r="I11" s="12">
        <f>(1-$B11)^6</f>
        <v/>
      </c>
      <c r="J11" s="12">
        <f>(1-$B11)^7</f>
        <v/>
      </c>
      <c r="K11" s="12">
        <f>(1-$B11)^8</f>
        <v/>
      </c>
      <c r="L11" s="12">
        <f>(1-$B11)^9</f>
        <v/>
      </c>
      <c r="M11" s="12">
        <f>(1-$B11)^10</f>
        <v/>
      </c>
      <c r="N11" s="12">
        <f>(1-$B11)^11</f>
        <v/>
      </c>
      <c r="O11" s="12">
        <f>(1-$B11)^12</f>
        <v/>
      </c>
    </row>
    <row r="12">
      <c r="A12" s="10" t="n">
        <v>45474</v>
      </c>
      <c r="B12" s="11" t="n">
        <v>0.041</v>
      </c>
      <c r="C12" s="12">
        <f>1</f>
        <v/>
      </c>
      <c r="D12" s="12">
        <f>(1-$B12)^1</f>
        <v/>
      </c>
      <c r="E12" s="12">
        <f>(1-$B12)^2</f>
        <v/>
      </c>
      <c r="F12" s="12">
        <f>(1-$B12)^3</f>
        <v/>
      </c>
      <c r="G12" s="12">
        <f>(1-$B12)^4</f>
        <v/>
      </c>
      <c r="H12" s="12">
        <f>(1-$B12)^5</f>
        <v/>
      </c>
      <c r="I12" s="12">
        <f>(1-$B12)^6</f>
        <v/>
      </c>
      <c r="J12" s="12">
        <f>(1-$B12)^7</f>
        <v/>
      </c>
      <c r="K12" s="12">
        <f>(1-$B12)^8</f>
        <v/>
      </c>
      <c r="L12" s="12">
        <f>(1-$B12)^9</f>
        <v/>
      </c>
      <c r="M12" s="12">
        <f>(1-$B12)^10</f>
        <v/>
      </c>
      <c r="N12" s="12">
        <f>(1-$B12)^11</f>
        <v/>
      </c>
      <c r="O12" s="12">
        <f>(1-$B12)^12</f>
        <v/>
      </c>
    </row>
    <row r="13">
      <c r="A13" s="10" t="n">
        <v>45505</v>
      </c>
      <c r="B13" s="11" t="n">
        <v>0.042</v>
      </c>
      <c r="C13" s="12">
        <f>1</f>
        <v/>
      </c>
      <c r="D13" s="12">
        <f>(1-$B13)^1</f>
        <v/>
      </c>
      <c r="E13" s="12">
        <f>(1-$B13)^2</f>
        <v/>
      </c>
      <c r="F13" s="12">
        <f>(1-$B13)^3</f>
        <v/>
      </c>
      <c r="G13" s="12">
        <f>(1-$B13)^4</f>
        <v/>
      </c>
      <c r="H13" s="12">
        <f>(1-$B13)^5</f>
        <v/>
      </c>
      <c r="I13" s="12">
        <f>(1-$B13)^6</f>
        <v/>
      </c>
      <c r="J13" s="12">
        <f>(1-$B13)^7</f>
        <v/>
      </c>
      <c r="K13" s="12">
        <f>(1-$B13)^8</f>
        <v/>
      </c>
      <c r="L13" s="12">
        <f>(1-$B13)^9</f>
        <v/>
      </c>
      <c r="M13" s="12">
        <f>(1-$B13)^10</f>
        <v/>
      </c>
      <c r="N13" s="12">
        <f>(1-$B13)^11</f>
        <v/>
      </c>
      <c r="O13" s="12">
        <f>(1-$B13)^12</f>
        <v/>
      </c>
    </row>
    <row r="14">
      <c r="A14" s="10" t="n">
        <v>45536</v>
      </c>
      <c r="B14" s="11" t="n">
        <v>0.043</v>
      </c>
      <c r="C14" s="12">
        <f>1</f>
        <v/>
      </c>
      <c r="D14" s="12">
        <f>(1-$B14)^1</f>
        <v/>
      </c>
      <c r="E14" s="12">
        <f>(1-$B14)^2</f>
        <v/>
      </c>
      <c r="F14" s="12">
        <f>(1-$B14)^3</f>
        <v/>
      </c>
      <c r="G14" s="12">
        <f>(1-$B14)^4</f>
        <v/>
      </c>
      <c r="H14" s="12">
        <f>(1-$B14)^5</f>
        <v/>
      </c>
      <c r="I14" s="12">
        <f>(1-$B14)^6</f>
        <v/>
      </c>
      <c r="J14" s="12">
        <f>(1-$B14)^7</f>
        <v/>
      </c>
      <c r="K14" s="12">
        <f>(1-$B14)^8</f>
        <v/>
      </c>
      <c r="L14" s="12">
        <f>(1-$B14)^9</f>
        <v/>
      </c>
      <c r="M14" s="12">
        <f>(1-$B14)^10</f>
        <v/>
      </c>
      <c r="N14" s="12">
        <f>(1-$B14)^11</f>
        <v/>
      </c>
      <c r="O14" s="12">
        <f>(1-$B14)^12</f>
        <v/>
      </c>
    </row>
    <row r="15">
      <c r="A15" s="10" t="n">
        <v>45566</v>
      </c>
      <c r="B15" s="11" t="n">
        <v>0.044</v>
      </c>
      <c r="C15" s="12">
        <f>1</f>
        <v/>
      </c>
      <c r="D15" s="12">
        <f>(1-$B15)^1</f>
        <v/>
      </c>
      <c r="E15" s="12">
        <f>(1-$B15)^2</f>
        <v/>
      </c>
      <c r="F15" s="12">
        <f>(1-$B15)^3</f>
        <v/>
      </c>
      <c r="G15" s="12">
        <f>(1-$B15)^4</f>
        <v/>
      </c>
      <c r="H15" s="12">
        <f>(1-$B15)^5</f>
        <v/>
      </c>
      <c r="I15" s="12">
        <f>(1-$B15)^6</f>
        <v/>
      </c>
      <c r="J15" s="12">
        <f>(1-$B15)^7</f>
        <v/>
      </c>
      <c r="K15" s="12">
        <f>(1-$B15)^8</f>
        <v/>
      </c>
      <c r="L15" s="12">
        <f>(1-$B15)^9</f>
        <v/>
      </c>
      <c r="M15" s="12">
        <f>(1-$B15)^10</f>
        <v/>
      </c>
      <c r="N15" s="12">
        <f>(1-$B15)^11</f>
        <v/>
      </c>
      <c r="O15" s="12">
        <f>(1-$B15)^12</f>
        <v/>
      </c>
    </row>
    <row r="16">
      <c r="A16" s="10" t="n">
        <v>45597</v>
      </c>
      <c r="B16" s="11" t="n">
        <v>0.04500000000000001</v>
      </c>
      <c r="C16" s="12">
        <f>1</f>
        <v/>
      </c>
      <c r="D16" s="12">
        <f>(1-$B16)^1</f>
        <v/>
      </c>
      <c r="E16" s="12">
        <f>(1-$B16)^2</f>
        <v/>
      </c>
      <c r="F16" s="12">
        <f>(1-$B16)^3</f>
        <v/>
      </c>
      <c r="G16" s="12">
        <f>(1-$B16)^4</f>
        <v/>
      </c>
      <c r="H16" s="12">
        <f>(1-$B16)^5</f>
        <v/>
      </c>
      <c r="I16" s="12">
        <f>(1-$B16)^6</f>
        <v/>
      </c>
      <c r="J16" s="12">
        <f>(1-$B16)^7</f>
        <v/>
      </c>
      <c r="K16" s="12">
        <f>(1-$B16)^8</f>
        <v/>
      </c>
      <c r="L16" s="12">
        <f>(1-$B16)^9</f>
        <v/>
      </c>
      <c r="M16" s="12">
        <f>(1-$B16)^10</f>
        <v/>
      </c>
      <c r="N16" s="12">
        <f>(1-$B16)^11</f>
        <v/>
      </c>
      <c r="O16" s="12">
        <f>(1-$B16)^12</f>
        <v/>
      </c>
    </row>
    <row r="17">
      <c r="A17" s="10" t="n">
        <v>45627</v>
      </c>
      <c r="B17" s="11" t="n">
        <v>0.046</v>
      </c>
      <c r="C17" s="12">
        <f>1</f>
        <v/>
      </c>
      <c r="D17" s="12">
        <f>(1-$B17)^1</f>
        <v/>
      </c>
      <c r="E17" s="12">
        <f>(1-$B17)^2</f>
        <v/>
      </c>
      <c r="F17" s="12">
        <f>(1-$B17)^3</f>
        <v/>
      </c>
      <c r="G17" s="12">
        <f>(1-$B17)^4</f>
        <v/>
      </c>
      <c r="H17" s="12">
        <f>(1-$B17)^5</f>
        <v/>
      </c>
      <c r="I17" s="12">
        <f>(1-$B17)^6</f>
        <v/>
      </c>
      <c r="J17" s="12">
        <f>(1-$B17)^7</f>
        <v/>
      </c>
      <c r="K17" s="12">
        <f>(1-$B17)^8</f>
        <v/>
      </c>
      <c r="L17" s="12">
        <f>(1-$B17)^9</f>
        <v/>
      </c>
      <c r="M17" s="12">
        <f>(1-$B17)^10</f>
        <v/>
      </c>
      <c r="N17" s="12">
        <f>(1-$B17)^11</f>
        <v/>
      </c>
      <c r="O17" s="12">
        <f>(1-$B17)^12</f>
        <v/>
      </c>
    </row>
  </sheetData>
  <mergeCells count="1">
    <mergeCell ref="A1:R1"/>
  </mergeCells>
  <conditionalFormatting sqref="C6:O17">
    <cfRule type="colorScale" priority="1">
      <colorScale>
        <cfvo type="num" val="0.2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Dashboard</t>
        </is>
      </c>
    </row>
    <row r="3">
      <c r="A3" s="9" t="inlineStr">
        <is>
          <t>Key KPIs pulled from the Data tab (dummy data).</t>
        </is>
      </c>
    </row>
    <row r="5" ht="20" customHeight="1">
      <c r="A5" s="13" t="inlineStr">
        <is>
          <t>KPI Summary</t>
        </is>
      </c>
    </row>
    <row r="6" ht="18" customHeight="1">
      <c r="A6" s="2" t="inlineStr">
        <is>
          <t>Metric</t>
        </is>
      </c>
      <c r="B6" s="2" t="inlineStr">
        <is>
          <t>Value</t>
        </is>
      </c>
    </row>
    <row r="7">
      <c r="A7" s="14" t="inlineStr">
        <is>
          <t>Current Ending MRR</t>
        </is>
      </c>
      <c r="B7" s="15">
        <f>Data!G28</f>
        <v/>
      </c>
    </row>
    <row r="8">
      <c r="A8" s="14" t="inlineStr">
        <is>
          <t>Net New MRR (Latest Month)</t>
        </is>
      </c>
      <c r="B8" s="15">
        <f>Data!M28</f>
        <v/>
      </c>
    </row>
    <row r="9">
      <c r="A9" s="14" t="inlineStr">
        <is>
          <t>NRR (Latest Month)</t>
        </is>
      </c>
      <c r="B9" s="16">
        <f>Data!N28</f>
        <v/>
      </c>
    </row>
    <row r="10">
      <c r="A10" s="14" t="inlineStr">
        <is>
          <t>Avg CAC (Last 6 Months)</t>
        </is>
      </c>
      <c r="B10" s="17">
        <f>AVERAGE(Data!L23:L28)</f>
        <v/>
      </c>
    </row>
    <row r="11">
      <c r="A11" s="14" t="inlineStr">
        <is>
          <t>Avg ARPA (Last 6 Months)</t>
        </is>
      </c>
      <c r="B11" s="16">
        <f>AVERAGE(Data!J23:J28)</f>
        <v/>
      </c>
    </row>
    <row r="12">
      <c r="A12" s="14" t="inlineStr">
        <is>
          <t>Monthly Churn Rate (Assumption)</t>
        </is>
      </c>
      <c r="B12" s="18" t="n">
        <v>0.04</v>
      </c>
    </row>
    <row r="13">
      <c r="A13" s="14" t="inlineStr">
        <is>
          <t>Gross Margin (Assumption)</t>
        </is>
      </c>
      <c r="B13" s="19" t="n">
        <v>0.8</v>
      </c>
    </row>
    <row r="14">
      <c r="A14" s="14" t="inlineStr">
        <is>
          <t>LTV</t>
        </is>
      </c>
      <c r="B14" s="20">
        <f>IF(B11=0,"-",B10*B12/B11)</f>
        <v/>
      </c>
    </row>
    <row r="15">
      <c r="A15" s="14" t="inlineStr">
        <is>
          <t>LTV / CAC</t>
        </is>
      </c>
      <c r="B15" s="21">
        <f>IF(B8=0,"-",B13/B8)</f>
        <v/>
      </c>
    </row>
    <row r="16">
      <c r="A16" s="14" t="inlineStr">
        <is>
          <t>CAC Payback (Months)</t>
        </is>
      </c>
      <c r="B16" s="22">
        <f>IF(B10*B12=0,"-",B8/(B10*B12))</f>
        <v/>
      </c>
    </row>
    <row r="18" ht="20" customHeight="1">
      <c r="A18" s="13" t="inlineStr">
        <is>
          <t>Cohort Retention Snapshot</t>
        </is>
      </c>
    </row>
    <row r="19">
      <c r="A19" s="23" t="inlineStr">
        <is>
          <t>(Pulled from Cohorts tab)</t>
        </is>
      </c>
    </row>
    <row r="20" ht="18" customHeight="1">
      <c r="A20" s="2" t="inlineStr">
        <is>
          <t>Cohort</t>
        </is>
      </c>
      <c r="B20" s="2" t="inlineStr">
        <is>
          <t>M0</t>
        </is>
      </c>
      <c r="C20" s="2" t="inlineStr">
        <is>
          <t>M1</t>
        </is>
      </c>
      <c r="D20" s="2" t="inlineStr">
        <is>
          <t>M2</t>
        </is>
      </c>
      <c r="E20" s="2" t="inlineStr">
        <is>
          <t>M3</t>
        </is>
      </c>
      <c r="F20" s="2" t="inlineStr">
        <is>
          <t>M4</t>
        </is>
      </c>
      <c r="G20" s="2" t="inlineStr">
        <is>
          <t>M5</t>
        </is>
      </c>
    </row>
    <row r="21">
      <c r="A21" s="24">
        <f>Cohorts!A12</f>
        <v/>
      </c>
      <c r="B21" s="12">
        <f>Cohorts!C12</f>
        <v/>
      </c>
      <c r="C21" s="12">
        <f>Cohorts!D12</f>
        <v/>
      </c>
      <c r="D21" s="12">
        <f>Cohorts!E12</f>
        <v/>
      </c>
      <c r="E21" s="12">
        <f>Cohorts!F12</f>
        <v/>
      </c>
      <c r="F21" s="12">
        <f>Cohorts!G12</f>
        <v/>
      </c>
      <c r="G21" s="12">
        <f>Cohorts!H12</f>
        <v/>
      </c>
    </row>
    <row r="22">
      <c r="A22" s="24">
        <f>Cohorts!A13</f>
        <v/>
      </c>
      <c r="B22" s="12">
        <f>Cohorts!C13</f>
        <v/>
      </c>
      <c r="C22" s="12">
        <f>Cohorts!D13</f>
        <v/>
      </c>
      <c r="D22" s="12">
        <f>Cohorts!E13</f>
        <v/>
      </c>
      <c r="E22" s="12">
        <f>Cohorts!F13</f>
        <v/>
      </c>
      <c r="F22" s="12">
        <f>Cohorts!G13</f>
        <v/>
      </c>
      <c r="G22" s="12">
        <f>Cohorts!H13</f>
        <v/>
      </c>
    </row>
    <row r="23">
      <c r="A23" s="24">
        <f>Cohorts!A14</f>
        <v/>
      </c>
      <c r="B23" s="12">
        <f>Cohorts!C14</f>
        <v/>
      </c>
      <c r="C23" s="12">
        <f>Cohorts!D14</f>
        <v/>
      </c>
      <c r="D23" s="12">
        <f>Cohorts!E14</f>
        <v/>
      </c>
      <c r="E23" s="12">
        <f>Cohorts!F14</f>
        <v/>
      </c>
      <c r="F23" s="12">
        <f>Cohorts!G14</f>
        <v/>
      </c>
      <c r="G23" s="12">
        <f>Cohorts!H14</f>
        <v/>
      </c>
    </row>
    <row r="24">
      <c r="A24" s="24">
        <f>Cohorts!A15</f>
        <v/>
      </c>
      <c r="B24" s="12">
        <f>Cohorts!C15</f>
        <v/>
      </c>
      <c r="C24" s="12">
        <f>Cohorts!D15</f>
        <v/>
      </c>
      <c r="D24" s="12">
        <f>Cohorts!E15</f>
        <v/>
      </c>
      <c r="E24" s="12">
        <f>Cohorts!F15</f>
        <v/>
      </c>
      <c r="F24" s="12">
        <f>Cohorts!G15</f>
        <v/>
      </c>
      <c r="G24" s="12">
        <f>Cohorts!H15</f>
        <v/>
      </c>
    </row>
    <row r="25">
      <c r="A25" s="24">
        <f>Cohorts!A16</f>
        <v/>
      </c>
      <c r="B25" s="12">
        <f>Cohorts!C16</f>
        <v/>
      </c>
      <c r="C25" s="12">
        <f>Cohorts!D16</f>
        <v/>
      </c>
      <c r="D25" s="12">
        <f>Cohorts!E16</f>
        <v/>
      </c>
      <c r="E25" s="12">
        <f>Cohorts!F16</f>
        <v/>
      </c>
      <c r="F25" s="12">
        <f>Cohorts!G16</f>
        <v/>
      </c>
      <c r="G25" s="12">
        <f>Cohorts!H16</f>
        <v/>
      </c>
    </row>
    <row r="26">
      <c r="A26" s="24">
        <f>Cohorts!A17</f>
        <v/>
      </c>
      <c r="B26" s="12">
        <f>Cohorts!C17</f>
        <v/>
      </c>
      <c r="C26" s="12">
        <f>Cohorts!D17</f>
        <v/>
      </c>
      <c r="D26" s="12">
        <f>Cohorts!E17</f>
        <v/>
      </c>
      <c r="E26" s="12">
        <f>Cohorts!F17</f>
        <v/>
      </c>
      <c r="F26" s="12">
        <f>Cohorts!G17</f>
        <v/>
      </c>
      <c r="G26" s="12">
        <f>Cohorts!H17</f>
        <v/>
      </c>
    </row>
    <row r="28" ht="20" customHeight="1">
      <c r="A28" s="13" t="inlineStr">
        <is>
          <t>MRR Bridge (New / Expansion / Churn vs Ending MRR)</t>
        </is>
      </c>
    </row>
    <row r="29">
      <c r="A29" s="23" t="inlineStr">
        <is>
          <t>Chart uses last 12 months from Data tab.</t>
        </is>
      </c>
    </row>
  </sheetData>
  <mergeCells count="4">
    <mergeCell ref="A5:N5"/>
    <mergeCell ref="A18:N18"/>
    <mergeCell ref="A28:N28"/>
    <mergeCell ref="A1:N1"/>
  </mergeCells>
  <conditionalFormatting sqref="B21:G26">
    <cfRule type="colorScale" priority="1">
      <colorScale>
        <cfvo type="num" val="0.2"/>
        <cfvo type="num" val="0.6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2026-02-20T17:30:57Z</dcterms:created>
  <dcterms:modified xmlns:dcterms="http://purl.org/dc/terms/" xmlns:xsi="http://www.w3.org/2001/XMLSchema-instance" xsi:type="dcterms:W3CDTF">2026-02-20T17:30:57Z</dcterms:modified>
</cp:coreProperties>
</file>